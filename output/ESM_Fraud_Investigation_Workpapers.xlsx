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-Tie-Out" sheetId="2" state="visible" r:id="rId4"/>
    <sheet name="B-Receipt Recon" sheetId="3" state="visible" r:id="rId5"/>
    <sheet name="C-Outgoing Analysis" sheetId="4" state="visible" r:id="rId6"/>
    <sheet name="D-Fund Tracing" sheetId="5" state="visible" r:id="rId7"/>
    <sheet name="H-Classification" sheetId="6" state="visible" r:id="rId8"/>
    <sheet name="Red Flags" sheetId="7" state="visible" r:id="rId9"/>
    <sheet name="Conclusion &amp; Recs" sheetId="8" state="visible" r:id="rId10"/>
    <sheet name="Ref - Booklet Data" sheetId="9" state="visible" r:id="rId11"/>
    <sheet name="Franchise Register" sheetId="10" state="visible" r:id="rId12"/>
    <sheet name="Outgoing Transactions" sheetId="11" state="visible" r:id="rId13"/>
    <sheet name="Payment Approval" sheetId="12" state="visible" r:id="rId14"/>
    <sheet name="Agreement Details" sheetId="13" state="visible" r:id="rId15"/>
    <sheet name="Transaction Evidence" sheetId="14" state="visible" r:id="rId16"/>
    <sheet name="Incoming Transaction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<sst xmlns="http://schemas.openxmlformats.org/spreadsheetml/2006/main" count="2313" uniqueCount="884">
  <si>
    <t xml:space="preserve">PT Everest Selera Muda - Fraud Investigation Workpapers</t>
  </si>
  <si>
    <t xml:space="preserve">Built on the participant data pack. Original 6 sheets are untouched; analysis sheets (A-H, Red Flags, Conclusion) are formula-driven. Blue = input, black = formula.</t>
  </si>
  <si>
    <t xml:space="preserve">Key metric</t>
  </si>
  <si>
    <t xml:space="preserve">Value</t>
  </si>
  <si>
    <t xml:space="preserve">Franchise fees per agreements (IDR)</t>
  </si>
  <si>
    <t xml:space="preserve">Bank receipts (IDR)</t>
  </si>
  <si>
    <t xml:space="preserve">Receipt reconciliation: amount differences</t>
  </si>
  <si>
    <t xml:space="preserve">Receipts dated before agreement</t>
  </si>
  <si>
    <t xml:space="preserve">Receipts later than due date</t>
  </si>
  <si>
    <t xml:space="preserve">Total outgoing (IDR)</t>
  </si>
  <si>
    <t xml:space="preserve">Suspected fraud (IDR)</t>
  </si>
  <si>
    <t xml:space="preserve">Unresolved (IDR)</t>
  </si>
  <si>
    <t xml:space="preserve">Legitimate provisional (IDR)</t>
  </si>
  <si>
    <t xml:space="preserve">RNS share of outgoing</t>
  </si>
  <si>
    <t xml:space="preserve">Payments with maker=checker=approver</t>
  </si>
  <si>
    <t xml:space="preserve">All tie-out checks pass?</t>
  </si>
  <si>
    <t xml:space="preserve">Sheet guide</t>
  </si>
  <si>
    <t xml:space="preserve">A-Tie-Out</t>
  </si>
  <si>
    <t xml:space="preserve">Mathematical tie-out across all datasets</t>
  </si>
  <si>
    <t xml:space="preserve">B-Receipt Recon</t>
  </si>
  <si>
    <t xml:space="preserve">Q2 fee entitlement vs bank receipts</t>
  </si>
  <si>
    <t xml:space="preserve">C-Outgoing Analysis</t>
  </si>
  <si>
    <t xml:space="preserve">Q3/5/6 joined master with evidence &amp; authorization tests</t>
  </si>
  <si>
    <t xml:space="preserve">D-Fund Tracing</t>
  </si>
  <si>
    <t xml:space="preserve">Q4 beneficiary/account tracing</t>
  </si>
  <si>
    <t xml:space="preserve">H-Classification</t>
  </si>
  <si>
    <t xml:space="preserve">Q7 legitimate / unresolved / suspected fraud</t>
  </si>
  <si>
    <t xml:space="preserve">Red Flags</t>
  </si>
  <si>
    <t xml:space="preserve">Q1 register</t>
  </si>
  <si>
    <t xml:space="preserve">Conclusion &amp; Recs</t>
  </si>
  <si>
    <t xml:space="preserve">Q7-Q9</t>
  </si>
  <si>
    <t xml:space="preserve">Ref - Booklet Data</t>
  </si>
  <si>
    <t xml:space="preserve">Vendor master &amp; bank change log transcribed from booklet (blue inputs)</t>
  </si>
  <si>
    <t xml:space="preserve">Limitations: approval matrix, user master, EV-01..08 documents not provided; classification is based on documentation in the data pack only.</t>
  </si>
  <si>
    <t xml:space="preserve">A. Mathematical tie-out</t>
  </si>
  <si>
    <t xml:space="preserve">Every check compares two independently derived totals; PASS/FAIL is formula-driven.</t>
  </si>
  <si>
    <t xml:space="preserve">Check</t>
  </si>
  <si>
    <t xml:space="preserve">Value 1</t>
  </si>
  <si>
    <t xml:space="preserve">Value 2</t>
  </si>
  <si>
    <t xml:space="preserve">Difference</t>
  </si>
  <si>
    <t xml:space="preserve">Result</t>
  </si>
  <si>
    <t xml:space="preserve">Register fee total = Agreement Details fee total</t>
  </si>
  <si>
    <t xml:space="preserve">Agreement fee total = Incoming total</t>
  </si>
  <si>
    <t xml:space="preserve">Incoming by account (BX+BY) = Incoming total</t>
  </si>
  <si>
    <t xml:space="preserve">Register # agreements = # incoming receipts</t>
  </si>
  <si>
    <t xml:space="preserve">Outgoing # (sheet) = # in Evidence = # in Approval</t>
  </si>
  <si>
    <t xml:space="preserve">Evidence total = Approval total</t>
  </si>
  <si>
    <t xml:space="preserve">Analysis master total = Evidence total</t>
  </si>
  <si>
    <t xml:space="preserve">Beneficiary summary = master total</t>
  </si>
  <si>
    <t xml:space="preserve">Classification total = master total</t>
  </si>
  <si>
    <t xml:space="preserve">Receipt recon: amount differences = 0</t>
  </si>
  <si>
    <t xml:space="preserve">Cash position (indicative only - no opening balance provided)</t>
  </si>
  <si>
    <t xml:space="preserve">Total incoming</t>
  </si>
  <si>
    <t xml:space="preserve">Total outgoing</t>
  </si>
  <si>
    <t xml:space="preserve">Net</t>
  </si>
  <si>
    <t xml:space="preserve">Outgoing as % of incoming</t>
  </si>
  <si>
    <t xml:space="preserve">B. Franchise fee entitlement vs bank receipts (Q2)</t>
  </si>
  <si>
    <t xml:space="preserve">One row per agreement. Register, Agreement Details and Incoming Transactions are matched on Agreement ID.</t>
  </si>
  <si>
    <t xml:space="preserve">Agreement ID</t>
  </si>
  <si>
    <t xml:space="preserve">Partner</t>
  </si>
  <si>
    <t xml:space="preserve">Fee per Register</t>
  </si>
  <si>
    <t xml:space="preserve">Fee per Agreement</t>
  </si>
  <si>
    <t xml:space="preserve">Receipt Txn ID</t>
  </si>
  <si>
    <t xml:space="preserve">Receipt Amount</t>
  </si>
  <si>
    <t xml:space="preserve">Receipt Account</t>
  </si>
  <si>
    <t xml:space="preserve">Official Account</t>
  </si>
  <si>
    <t xml:space="preserve">Amount Diff (Receipt - Fee)</t>
  </si>
  <si>
    <t xml:space="preserve">Register vs Agreement Fee</t>
  </si>
  <si>
    <t xml:space="preserve">Account Check</t>
  </si>
  <si>
    <t xml:space="preserve">Sender Check</t>
  </si>
  <si>
    <t xml:space="preserve">Agreement Date</t>
  </si>
  <si>
    <t xml:space="preserve">Due Date</t>
  </si>
  <si>
    <t xml:space="preserve">Receipt Date</t>
  </si>
  <si>
    <t xml:space="preserve">Days vs Due (+ = late)</t>
  </si>
  <si>
    <t xml:space="preserve">Timing Flag</t>
  </si>
  <si>
    <t xml:space="preserve">TOTAL</t>
  </si>
  <si>
    <t xml:space="preserve">Exception counts</t>
  </si>
  <si>
    <t xml:space="preserve">Received before agreement date</t>
  </si>
  <si>
    <t xml:space="preserve">Late vs due date</t>
  </si>
  <si>
    <t xml:space="preserve">On time</t>
  </si>
  <si>
    <t xml:space="preserve">Amount differences</t>
  </si>
  <si>
    <t xml:space="preserve">Wrong account</t>
  </si>
  <si>
    <t xml:space="preserve">Max days late</t>
  </si>
  <si>
    <t xml:space="preserve">Largest lead before agreement date (days)</t>
  </si>
  <si>
    <t xml:space="preserve">Reading: amounts, accounts and senders reconcile 100%; the only exceptions are timing (dates before agreement / late). "Paid in Full" in the Register does not reflect lateness.</t>
  </si>
  <si>
    <t xml:space="preserve">C/D/E. Outgoing transaction master: join, evidence test, authorization test, classification (Q3-Q7)</t>
  </si>
  <si>
    <t xml:space="preserve">Threshold (IDR)</t>
  </si>
  <si>
    <t xml:space="preserve">Outgoing (no amounts) joined to Transaction Evidence via Transaction ID, and to Payment Approval via Reference. All formula-driven.</t>
  </si>
  <si>
    <t xml:space="preserve">Assumption: approval matrix not provided; 900,000,000 is an analyst-chosen screen for "large, near-1bn" payments. Change W1 to re-run.</t>
  </si>
  <si>
    <t xml:space="preserve">Txn ID</t>
  </si>
  <si>
    <t xml:space="preserve">Date</t>
  </si>
  <si>
    <t xml:space="preserve">ESM Account</t>
  </si>
  <si>
    <t xml:space="preserve">Beneficiary</t>
  </si>
  <si>
    <t xml:space="preserve">Beneficiary Account</t>
  </si>
  <si>
    <t xml:space="preserve">Beneficiary Bank</t>
  </si>
  <si>
    <t xml:space="preserve">Reference</t>
  </si>
  <si>
    <t xml:space="preserve">Amount (IDR)</t>
  </si>
  <si>
    <t xml:space="preserve">Approval Description</t>
  </si>
  <si>
    <t xml:space="preserve">Maker</t>
  </si>
  <si>
    <t xml:space="preserve">Checker</t>
  </si>
  <si>
    <t xml:space="preserve">Approver</t>
  </si>
  <si>
    <t xml:space="preserve">Amount Evidence = Approval</t>
  </si>
  <si>
    <t xml:space="preserve">Full doc package?</t>
  </si>
  <si>
    <t xml:space="preserve">RNS?</t>
  </si>
  <si>
    <t xml:space="preserve">Maker=Checker=Approver</t>
  </si>
  <si>
    <t xml:space="preserve">Amount &gt;= threshold</t>
  </si>
  <si>
    <t xml:space="preserve">Account in change-log extract?</t>
  </si>
  <si>
    <t xml:space="preserve">Classification</t>
  </si>
  <si>
    <t xml:space="preserve">Evidence note (from data pack)</t>
  </si>
  <si>
    <t xml:space="preserve">D. Fund tracing: ESM account to beneficiary (Q4)</t>
  </si>
  <si>
    <t xml:space="preserve">All figures are SUMIFS/COUNTIFS on C-Outgoing Analysis.</t>
  </si>
  <si>
    <t xml:space="preserve"># Payments</t>
  </si>
  <si>
    <t xml:space="preserve">Total (IDR)</t>
  </si>
  <si>
    <t xml:space="preserve">% of Outgoing</t>
  </si>
  <si>
    <t xml:space="preserve"># Distinct Bene Accounts</t>
  </si>
  <si>
    <t xml:space="preserve"># Payments w/ full docs</t>
  </si>
  <si>
    <t xml:space="preserve"># Payments not in change-log</t>
  </si>
  <si>
    <t xml:space="preserve">Total paid without full docs</t>
  </si>
  <si>
    <t xml:space="preserve">PT Rinjani Niaga Sentosa</t>
  </si>
  <si>
    <t xml:space="preserve">PT Laut Banda Pangan</t>
  </si>
  <si>
    <t xml:space="preserve">PT Laut Sawu Distribusi</t>
  </si>
  <si>
    <t xml:space="preserve">PT Laut Maluku Proyek</t>
  </si>
  <si>
    <t xml:space="preserve">PT Laut Jawa Tomasan</t>
  </si>
  <si>
    <t xml:space="preserve">PT Laut Timor Properti</t>
  </si>
  <si>
    <t xml:space="preserve">PT Laut Arafura Media</t>
  </si>
  <si>
    <t xml:space="preserve">PT Laut Seram Konsultan</t>
  </si>
  <si>
    <t xml:space="preserve">PT Laut Natuna Jasa</t>
  </si>
  <si>
    <t xml:space="preserve">PT Laut Flores Teknologi</t>
  </si>
  <si>
    <t xml:space="preserve">By ESM bank account</t>
  </si>
  <si>
    <t xml:space="preserve">Receipts (IDR)</t>
  </si>
  <si>
    <t xml:space="preserve">Payments to all (IDR)</t>
  </si>
  <si>
    <t xml:space="preserve">Payments to RNS (IDR)</t>
  </si>
  <si>
    <t xml:space="preserve">RNS % of account payments</t>
  </si>
  <si>
    <t xml:space="preserve">ESM-BX-01</t>
  </si>
  <si>
    <t xml:space="preserve">ESM-BY-01</t>
  </si>
  <si>
    <t xml:space="preserve">RNS payment stream (chronological order of Outgoing sheet)</t>
  </si>
  <si>
    <t xml:space="preserve">Cumulative RNS (IDR)</t>
  </si>
  <si>
    <t xml:space="preserve">Description</t>
  </si>
  <si>
    <t xml:space="preserve">Rows picked by position of RNS in C-Outgoing Analysis (rows 6,7,10,...). If the source order changes, re-pick. Check: total below must equal RNS total above.</t>
  </si>
  <si>
    <t xml:space="preserve">Check total</t>
  </si>
  <si>
    <t xml:space="preserve">H. Population classification (Q7) with mathematical tie-out</t>
  </si>
  <si>
    <t xml:space="preserve">Basis: documentation completeness x beneficiary. "Legitimate" is provisional until beneficiary account is confirmed against the full vendor master.</t>
  </si>
  <si>
    <t xml:space="preserve"># Txn</t>
  </si>
  <si>
    <t xml:space="preserve">Evidentiary basis</t>
  </si>
  <si>
    <t xml:space="preserve">Suspected fraud</t>
  </si>
  <si>
    <t xml:space="preserve">RNS payments supported only by Payment Request, transfer evidence and internal email; no contract/PO/work report/receipt; generic descriptions; maker=checker=approver; rekening &amp; vendor set up by Finance.</t>
  </si>
  <si>
    <t xml:space="preserve">Unresolved - RNS with contract</t>
  </si>
  <si>
    <t xml:space="preserve">RNS payment with full package (CTR-RNS-2024-01) but same counterparty pattern; substance of "coordination services" and signatories to be tested.</t>
  </si>
  <si>
    <t xml:space="preserve">Unresolved - partial docs</t>
  </si>
  <si>
    <t xml:space="preserve">Non-RNS vendors with invoice/email only; contract, PO, work report or receipt missing; some to accounts not in change-log extract.</t>
  </si>
  <si>
    <t xml:space="preserve">Legitimate (provisional)</t>
  </si>
  <si>
    <t xml:space="preserve">Full package: contract/PO/SPK, invoice, work/hand-over report, receipt evidence, Board approval.</t>
  </si>
  <si>
    <t xml:space="preserve">Tie-out to Evidence total</t>
  </si>
  <si>
    <t xml:space="preserve">Authorization statistics</t>
  </si>
  <si>
    <t xml:space="preserve">Transactions with maker = checker = approver</t>
  </si>
  <si>
    <t xml:space="preserve">Amount of those transactions</t>
  </si>
  <si>
    <t xml:space="preserve">Transactions approved by USR-FIN-02</t>
  </si>
  <si>
    <t xml:space="preserve">RNS payments &gt;= threshold</t>
  </si>
  <si>
    <t xml:space="preserve">RNS payments where maker=checker=approver</t>
  </si>
  <si>
    <t xml:space="preserve">Payments to accounts not in change-log extract</t>
  </si>
  <si>
    <t xml:space="preserve">Amount to accounts not in extract</t>
  </si>
  <si>
    <t xml:space="preserve">Evidence vs Approval amount differences</t>
  </si>
  <si>
    <t xml:space="preserve">Red flag register (Q1)</t>
  </si>
  <si>
    <t xml:space="preserve">Metrics link to the analysis sheets. "Severity": High/Medium indicates priority, not a conclusion of fraud.</t>
  </si>
  <si>
    <t xml:space="preserve">#</t>
  </si>
  <si>
    <t xml:space="preserve">Area</t>
  </si>
  <si>
    <t xml:space="preserve">Red flag</t>
  </si>
  <si>
    <t xml:space="preserve">Metric</t>
  </si>
  <si>
    <t xml:space="preserve">Source sheet(s)</t>
  </si>
  <si>
    <t xml:space="preserve">Severity</t>
  </si>
  <si>
    <t xml:space="preserve">Booklet Q</t>
  </si>
  <si>
    <t xml:space="preserve">Disbursement</t>
  </si>
  <si>
    <t xml:space="preserve">One counterparty (RNS) receives most outgoing cash</t>
  </si>
  <si>
    <t xml:space="preserve">High</t>
  </si>
  <si>
    <t xml:space="preserve">Q3,Q4</t>
  </si>
  <si>
    <t xml:space="preserve">Documentation</t>
  </si>
  <si>
    <t xml:space="preserve">RNS payments with no contract/PO/work report/receipt (count)</t>
  </si>
  <si>
    <t xml:space="preserve">Q5</t>
  </si>
  <si>
    <t xml:space="preserve">RNS payments without full docs (IDR)</t>
  </si>
  <si>
    <t xml:space="preserve">Authorization</t>
  </si>
  <si>
    <t xml:space="preserve">Transactions where maker=checker=approver</t>
  </si>
  <si>
    <t xml:space="preserve">Q6,Q8</t>
  </si>
  <si>
    <t xml:space="preserve">All payments approved by a single user (USR-FIN-02)</t>
  </si>
  <si>
    <t xml:space="preserve">RNS payments at/above threshold, clustered just under 1bn</t>
  </si>
  <si>
    <t xml:space="preserve">Medium</t>
  </si>
  <si>
    <t xml:space="preserve">Q6</t>
  </si>
  <si>
    <t xml:space="preserve">Other vendors: payments without full package</t>
  </si>
  <si>
    <t xml:space="preserve">Payments to accounts not in the change-log extract (count)</t>
  </si>
  <si>
    <t xml:space="preserve">Q4</t>
  </si>
  <si>
    <t xml:space="preserve">Vendors paid to more than one bank account (of 9 non-RNS)</t>
  </si>
  <si>
    <t xml:space="preserve">Name mismatch: data "PT Laut Jawa Tomasan" vs master "PT Laut Jawa Kemasan"</t>
  </si>
  <si>
    <t xml:space="preserve">C-Outgoing Analysis; Ref</t>
  </si>
  <si>
    <t xml:space="preserve">Timor Properti: change log account PROP-001 is never used; VND-TP-01/02 paid</t>
  </si>
  <si>
    <t xml:space="preserve">Relationship</t>
  </si>
  <si>
    <t xml:space="preserve">RNS vendor ID format PTY-RNS (not VND-); onboarded by Finance Admin; bank account prepared by Finance, approved by Finance Head</t>
  </si>
  <si>
    <t xml:space="preserve">n/a</t>
  </si>
  <si>
    <t xml:space="preserve">RNS registered address "Kompleks Arunika Blok R 11" - compare with EV-08 (Uranus profile) - NOT yet verifiable</t>
  </si>
  <si>
    <t xml:space="preserve">Unverified</t>
  </si>
  <si>
    <t xml:space="preserve">Receipt</t>
  </si>
  <si>
    <t xml:space="preserve">Receipts recorded BEFORE agreement date</t>
  </si>
  <si>
    <t xml:space="preserve">Q2</t>
  </si>
  <si>
    <t xml:space="preserve">Receipts later than due date though Register says "Paid in Full"</t>
  </si>
  <si>
    <t xml:space="preserve">Generic descriptions ("adjustment", "expansion needs management") on RNS requests</t>
  </si>
  <si>
    <t xml:space="preserve">Q1</t>
  </si>
  <si>
    <t xml:space="preserve">Conclusions (Q7), control weaknesses (Q8) and recommendations (Q9)</t>
  </si>
  <si>
    <t xml:space="preserve">Type</t>
  </si>
  <si>
    <t xml:space="preserve">Item</t>
  </si>
  <si>
    <t xml:space="preserve">Detail</t>
  </si>
  <si>
    <t xml:space="preserve">Conclusion</t>
  </si>
  <si>
    <t xml:space="preserve">15 RNS payments (IDR 13.0bn) lack any commercial support and were self-approved. Pattern is consistent with diversion of funds; individual responsibility is NOT concluded.</t>
  </si>
  <si>
    <t xml:space="preserve">Unresolved</t>
  </si>
  <si>
    <t xml:space="preserve">12 non-RNS payments with partial documentation (IDR 4.58bn) and 1 RNS contract payment (IDR 0.5bn); need vendor confirmations, full contract set, and account verification.</t>
  </si>
  <si>
    <t xml:space="preserve">9 payments (IDR 2.0bn) with complete package; confirm rekening against full vendor master.</t>
  </si>
  <si>
    <t xml:space="preserve">Franchise receipts</t>
  </si>
  <si>
    <t xml:space="preserve">All 40 receipts reconcile in amount, account and sender (26.93bn). Date anomalies remain as investigation points.</t>
  </si>
  <si>
    <t xml:space="preserve">Related party</t>
  </si>
  <si>
    <t xml:space="preserve">UNRESOLVED: indicators exist (single approver, Finance-created vendor/account) but EV-07/EV-08 not reviewed; a single matching data point is insufficient per booklet.</t>
  </si>
  <si>
    <t xml:space="preserve">Weakness</t>
  </si>
  <si>
    <t xml:space="preserve">Segregation of duties</t>
  </si>
  <si>
    <t xml:space="preserve">Same user acts as maker, checker and approver on 30 of 37 payments; one user approves all.</t>
  </si>
  <si>
    <t xml:space="preserve">Approval without substance</t>
  </si>
  <si>
    <t xml:space="preserve">Approval record exists even where no contract, PO or delivery evidence exists.</t>
  </si>
  <si>
    <t xml:space="preserve">Vendor / bank master</t>
  </si>
  <si>
    <t xml:space="preserve">Vendor and bank accounts created by Finance and approved by Finance Head; multiple undocumented accounts per vendor.</t>
  </si>
  <si>
    <t xml:space="preserve">Monitoring</t>
  </si>
  <si>
    <t xml:space="preserve">No reconciliation of receipts to due dates; 'Paid in Full' status ignores timing; no review of concentration to one payee.</t>
  </si>
  <si>
    <t xml:space="preserve">Recommendation</t>
  </si>
  <si>
    <t xml:space="preserve">Enforce system-level maker/checker/approver separation by value bands; block same-user approvals; require dual approval (incl. President Director) above a threshold.</t>
  </si>
  <si>
    <t xml:space="preserve">3-way match (contract/PO, receipt, invoice) before release; no payment on Payment Request + email alone.</t>
  </si>
  <si>
    <t xml:space="preserve">Vendor / counterparty</t>
  </si>
  <si>
    <t xml:space="preserve">Independent vendor onboarding (not Finance); bank-account change requires callback + Procurement/Compliance sign-off; periodic vendor master review.</t>
  </si>
  <si>
    <t xml:space="preserve">Annual conflict-of-interest declarations; screening of vendor directors/addresses against employee data; whistleblowing channel.</t>
  </si>
  <si>
    <t xml:space="preserve">Monthly bank-to-ledger and franchise-fee-to-agreement reconciliation; analytics on payee concentration, round/near-threshold amounts and multi-account vendors.</t>
  </si>
  <si>
    <t xml:space="preserve">Next step</t>
  </si>
  <si>
    <t xml:space="preserve">Obtain data</t>
  </si>
  <si>
    <t xml:space="preserve">User master &amp; approval matrix; EV-01 to EV-08 documents; full vendor and bank master; bank statements/balances; RNS onward transfers.</t>
  </si>
  <si>
    <t xml:space="preserve">Reference data transcribed from the case booklet</t>
  </si>
  <si>
    <t xml:space="preserve">Source: CPA Days 2026 booklet, Additional Supporting Data Pack, pages 8-10 (transcribed manually from images; not part of the Excel data pack).</t>
  </si>
  <si>
    <t xml:space="preserve">Vendor master extract (p.9)</t>
  </si>
  <si>
    <t xml:space="preserve">Vendor ID</t>
  </si>
  <si>
    <t xml:space="preserve">Legal Name</t>
  </si>
  <si>
    <t xml:space="preserve">Status</t>
  </si>
  <si>
    <t xml:space="preserve">Onboarding Date</t>
  </si>
  <si>
    <t xml:space="preserve">Registered Activity</t>
  </si>
  <si>
    <t xml:space="preserve">Registered Address</t>
  </si>
  <si>
    <t xml:space="preserve">Responsible Function</t>
  </si>
  <si>
    <t xml:space="preserve">VND-001</t>
  </si>
  <si>
    <t xml:space="preserve">Active</t>
  </si>
  <si>
    <t xml:space="preserve">15-Mar-2022</t>
  </si>
  <si>
    <t xml:space="preserve">Procurement / food ingredients</t>
  </si>
  <si>
    <t xml:space="preserve">Jakarta</t>
  </si>
  <si>
    <t xml:space="preserve">Vendor Management</t>
  </si>
  <si>
    <t xml:space="preserve">VND-002</t>
  </si>
  <si>
    <t xml:space="preserve">PT Laut Jawa Kemasan</t>
  </si>
  <si>
    <t xml:space="preserve">08-Apr-2022</t>
  </si>
  <si>
    <t xml:space="preserve">Packaging procurement</t>
  </si>
  <si>
    <t xml:space="preserve">Bekasi</t>
  </si>
  <si>
    <t xml:space="preserve">PTY-RNS</t>
  </si>
  <si>
    <t xml:space="preserve">Management consulting / general trade</t>
  </si>
  <si>
    <t xml:space="preserve">Kompleks Arunika Blok R 11, Jakarta</t>
  </si>
  <si>
    <t xml:space="preserve">Finance Administration</t>
  </si>
  <si>
    <t xml:space="preserve">VND-003</t>
  </si>
  <si>
    <t xml:space="preserve">10-May-2022</t>
  </si>
  <si>
    <t xml:space="preserve">Technology services</t>
  </si>
  <si>
    <t xml:space="preserve">Tangerang</t>
  </si>
  <si>
    <t xml:space="preserve">Procurement</t>
  </si>
  <si>
    <t xml:space="preserve">VND-006</t>
  </si>
  <si>
    <t xml:space="preserve">17-Aug-2022</t>
  </si>
  <si>
    <t xml:space="preserve">Property / asset counterparty</t>
  </si>
  <si>
    <t xml:space="preserve">Bank account registration &amp; change log (p.9-10)</t>
  </si>
  <si>
    <t xml:space="preserve">Log ID</t>
  </si>
  <si>
    <t xml:space="preserve">Registered Account</t>
  </si>
  <si>
    <t xml:space="preserve">Bank</t>
  </si>
  <si>
    <t xml:space="preserve">Change Type</t>
  </si>
  <si>
    <t xml:space="preserve">Effective Date</t>
  </si>
  <si>
    <t xml:space="preserve">Prepared By</t>
  </si>
  <si>
    <t xml:space="preserve">Reviewed/Approved By Function</t>
  </si>
  <si>
    <t xml:space="preserve">BA-001</t>
  </si>
  <si>
    <t xml:space="preserve">VND-BD-01</t>
  </si>
  <si>
    <t xml:space="preserve">Bank Samudra</t>
  </si>
  <si>
    <t xml:space="preserve">Initial registration</t>
  </si>
  <si>
    <t xml:space="preserve">18-Mar-2022</t>
  </si>
  <si>
    <t xml:space="preserve">Finance Review</t>
  </si>
  <si>
    <t xml:space="preserve">Completed</t>
  </si>
  <si>
    <t xml:space="preserve">BA-002</t>
  </si>
  <si>
    <t xml:space="preserve">VND-KM-01</t>
  </si>
  <si>
    <t xml:space="preserve">BA-003</t>
  </si>
  <si>
    <t xml:space="preserve">RNS-BR-01</t>
  </si>
  <si>
    <t xml:space="preserve">Bank Rinjani</t>
  </si>
  <si>
    <t xml:space="preserve">21-Mar-2022</t>
  </si>
  <si>
    <t xml:space="preserve">Finance</t>
  </si>
  <si>
    <t xml:space="preserve">Finance Head</t>
  </si>
  <si>
    <t xml:space="preserve">BA-004</t>
  </si>
  <si>
    <t xml:space="preserve">PROP-001</t>
  </si>
  <si>
    <t xml:space="preserve">Bank Cakra</t>
  </si>
  <si>
    <t xml:space="preserve">BA-005</t>
  </si>
  <si>
    <t xml:space="preserve">VND-TI-01</t>
  </si>
  <si>
    <t xml:space="preserve">Bank Nusantara</t>
  </si>
  <si>
    <t xml:space="preserve">Account detail update</t>
  </si>
  <si>
    <t xml:space="preserve">04-Jan-2024</t>
  </si>
  <si>
    <t xml:space="preserve">BA-006</t>
  </si>
  <si>
    <t xml:space="preserve">VND-PJ-01</t>
  </si>
  <si>
    <t xml:space="preserve">11-Feb-2023</t>
  </si>
  <si>
    <t xml:space="preserve">Note: both tables are extracts, not the complete master. Absence of an account/vendor here is an investigation point, not proof of wrongdoing. Blue = hardcoded input transcribed from booklet.</t>
  </si>
  <si>
    <t xml:space="preserve">No</t>
  </si>
  <si>
    <t xml:space="preserve">Partner Name</t>
  </si>
  <si>
    <t xml:space="preserve">Outlet Location</t>
  </si>
  <si>
    <t xml:space="preserve">Outlet Type</t>
  </si>
  <si>
    <t xml:space="preserve">Franchise Fee Amount</t>
  </si>
  <si>
    <t xml:space="preserve">Official ESM Receiving Account</t>
  </si>
  <si>
    <t xml:space="preserve">Contract Status</t>
  </si>
  <si>
    <t xml:space="preserve">Payment Status</t>
  </si>
  <si>
    <t xml:space="preserve">FR-001</t>
  </si>
  <si>
    <t xml:space="preserve">AGR-001</t>
  </si>
  <si>
    <t xml:space="preserve">Partner 01</t>
  </si>
  <si>
    <t xml:space="preserve">Regular Outlet</t>
  </si>
  <si>
    <t xml:space="preserve">03-Jan-2023</t>
  </si>
  <si>
    <t xml:space="preserve">02-Feb-2023</t>
  </si>
  <si>
    <t xml:space="preserve">Paid in Full</t>
  </si>
  <si>
    <t xml:space="preserve">FR-002</t>
  </si>
  <si>
    <t xml:space="preserve">AGR-002</t>
  </si>
  <si>
    <t xml:space="preserve">Partner 02</t>
  </si>
  <si>
    <t xml:space="preserve">Bandung</t>
  </si>
  <si>
    <t xml:space="preserve">Express Outlet</t>
  </si>
  <si>
    <t xml:space="preserve">06-Feb-2023</t>
  </si>
  <si>
    <t xml:space="preserve">08-Mar-2023</t>
  </si>
  <si>
    <t xml:space="preserve">FR-003</t>
  </si>
  <si>
    <t xml:space="preserve">AGR-003</t>
  </si>
  <si>
    <t xml:space="preserve">Partner 03</t>
  </si>
  <si>
    <t xml:space="preserve">Surabaya</t>
  </si>
  <si>
    <t xml:space="preserve">Premium Outlet</t>
  </si>
  <si>
    <t xml:space="preserve">09-Mar-2023</t>
  </si>
  <si>
    <t xml:space="preserve">08-Apr-2023</t>
  </si>
  <si>
    <t xml:space="preserve">FR-004</t>
  </si>
  <si>
    <t xml:space="preserve">AGR-004</t>
  </si>
  <si>
    <t xml:space="preserve">Partner 04</t>
  </si>
  <si>
    <t xml:space="preserve">Yogyakarta</t>
  </si>
  <si>
    <t xml:space="preserve">12-Apr-2023</t>
  </si>
  <si>
    <t xml:space="preserve">12-May-2023</t>
  </si>
  <si>
    <t xml:space="preserve">FR-005</t>
  </si>
  <si>
    <t xml:space="preserve">AGR-005</t>
  </si>
  <si>
    <t xml:space="preserve">Partner 05</t>
  </si>
  <si>
    <t xml:space="preserve">Medan</t>
  </si>
  <si>
    <t xml:space="preserve">15-May-2023</t>
  </si>
  <si>
    <t xml:space="preserve">14-Jun-2023</t>
  </si>
  <si>
    <t xml:space="preserve">FR-006</t>
  </si>
  <si>
    <t xml:space="preserve">AGR-006</t>
  </si>
  <si>
    <t xml:space="preserve">Partner 06</t>
  </si>
  <si>
    <t xml:space="preserve">18-Jun-2023</t>
  </si>
  <si>
    <t xml:space="preserve">18-Jul-2023</t>
  </si>
  <si>
    <t xml:space="preserve">FR-007</t>
  </si>
  <si>
    <t xml:space="preserve">AGR-007</t>
  </si>
  <si>
    <t xml:space="preserve">Partner 07</t>
  </si>
  <si>
    <t xml:space="preserve">21-Jul-2023</t>
  </si>
  <si>
    <t xml:space="preserve">20-Aug-2023</t>
  </si>
  <si>
    <t xml:space="preserve">FR-008</t>
  </si>
  <si>
    <t xml:space="preserve">AGR-008</t>
  </si>
  <si>
    <t xml:space="preserve">Partner 08</t>
  </si>
  <si>
    <t xml:space="preserve">24-Aug-2023</t>
  </si>
  <si>
    <t xml:space="preserve">23-Sep-2023</t>
  </si>
  <si>
    <t xml:space="preserve">FR-009</t>
  </si>
  <si>
    <t xml:space="preserve">AGR-009</t>
  </si>
  <si>
    <t xml:space="preserve">Partner 09</t>
  </si>
  <si>
    <t xml:space="preserve">02-Sep-2023</t>
  </si>
  <si>
    <t xml:space="preserve">02-Oct-2023</t>
  </si>
  <si>
    <t xml:space="preserve">FR-010</t>
  </si>
  <si>
    <t xml:space="preserve">AGR-010</t>
  </si>
  <si>
    <t xml:space="preserve">Partner 10</t>
  </si>
  <si>
    <t xml:space="preserve">05-Oct-2023</t>
  </si>
  <si>
    <t xml:space="preserve">04-Nov-2023</t>
  </si>
  <si>
    <t xml:space="preserve">FR-011</t>
  </si>
  <si>
    <t xml:space="preserve">AGR-011</t>
  </si>
  <si>
    <t xml:space="preserve">Partner 11</t>
  </si>
  <si>
    <t xml:space="preserve">08-Nov-2023</t>
  </si>
  <si>
    <t xml:space="preserve">08-Dec-2023</t>
  </si>
  <si>
    <t xml:space="preserve">FR-012</t>
  </si>
  <si>
    <t xml:space="preserve">AGR-012</t>
  </si>
  <si>
    <t xml:space="preserve">Partner 12</t>
  </si>
  <si>
    <t xml:space="preserve">11-Dec-2023</t>
  </si>
  <si>
    <t xml:space="preserve">10-Jan-2024</t>
  </si>
  <si>
    <t xml:space="preserve">FR-013</t>
  </si>
  <si>
    <t xml:space="preserve">AGR-013</t>
  </si>
  <si>
    <t xml:space="preserve">Partner 13</t>
  </si>
  <si>
    <t xml:space="preserve">14-Jan-2023</t>
  </si>
  <si>
    <t xml:space="preserve">13-Feb-2023</t>
  </si>
  <si>
    <t xml:space="preserve">FR-014</t>
  </si>
  <si>
    <t xml:space="preserve">AGR-014</t>
  </si>
  <si>
    <t xml:space="preserve">Partner 14</t>
  </si>
  <si>
    <t xml:space="preserve">17-Feb-2023</t>
  </si>
  <si>
    <t xml:space="preserve">19-Mar-2023</t>
  </si>
  <si>
    <t xml:space="preserve">FR-015</t>
  </si>
  <si>
    <t xml:space="preserve">AGR-015</t>
  </si>
  <si>
    <t xml:space="preserve">Partner 15</t>
  </si>
  <si>
    <t xml:space="preserve">20-Mar-2023</t>
  </si>
  <si>
    <t xml:space="preserve">19-Apr-2023</t>
  </si>
  <si>
    <t xml:space="preserve">FR-016</t>
  </si>
  <si>
    <t xml:space="preserve">AGR-016</t>
  </si>
  <si>
    <t xml:space="preserve">Partner 16</t>
  </si>
  <si>
    <t xml:space="preserve">23-Apr-2023</t>
  </si>
  <si>
    <t xml:space="preserve">23-May-2023</t>
  </si>
  <si>
    <t xml:space="preserve">FR-017</t>
  </si>
  <si>
    <t xml:space="preserve">AGR-017</t>
  </si>
  <si>
    <t xml:space="preserve">Partner 17</t>
  </si>
  <si>
    <t xml:space="preserve">01-May-2023</t>
  </si>
  <si>
    <t xml:space="preserve">31-May-2023</t>
  </si>
  <si>
    <t xml:space="preserve">FR-018</t>
  </si>
  <si>
    <t xml:space="preserve">AGR-018</t>
  </si>
  <si>
    <t xml:space="preserve">Partner 18</t>
  </si>
  <si>
    <t xml:space="preserve">04-Jun-2023</t>
  </si>
  <si>
    <t xml:space="preserve">04-Jul-2023</t>
  </si>
  <si>
    <t xml:space="preserve">FR-019</t>
  </si>
  <si>
    <t xml:space="preserve">AGR-019</t>
  </si>
  <si>
    <t xml:space="preserve">Partner 19</t>
  </si>
  <si>
    <t xml:space="preserve">07-Jul-2023</t>
  </si>
  <si>
    <t xml:space="preserve">06-Aug-2023</t>
  </si>
  <si>
    <t xml:space="preserve">FR-020</t>
  </si>
  <si>
    <t xml:space="preserve">AGR-020</t>
  </si>
  <si>
    <t xml:space="preserve">Partner 20</t>
  </si>
  <si>
    <t xml:space="preserve">10-Aug-2023</t>
  </si>
  <si>
    <t xml:space="preserve">09-Sep-2023</t>
  </si>
  <si>
    <t xml:space="preserve">FR-021</t>
  </si>
  <si>
    <t xml:space="preserve">AGR-021</t>
  </si>
  <si>
    <t xml:space="preserve">Partner 21</t>
  </si>
  <si>
    <t xml:space="preserve">13-Sep-2024</t>
  </si>
  <si>
    <t xml:space="preserve">13-Oct-2024</t>
  </si>
  <si>
    <t xml:space="preserve">FR-022</t>
  </si>
  <si>
    <t xml:space="preserve">AGR-022</t>
  </si>
  <si>
    <t xml:space="preserve">Partner 22</t>
  </si>
  <si>
    <t xml:space="preserve">16-Oct-2024</t>
  </si>
  <si>
    <t xml:space="preserve">15-Nov-2024</t>
  </si>
  <si>
    <t xml:space="preserve">FR-023</t>
  </si>
  <si>
    <t xml:space="preserve">AGR-023</t>
  </si>
  <si>
    <t xml:space="preserve">Partner 23</t>
  </si>
  <si>
    <t xml:space="preserve">19-Nov-2024</t>
  </si>
  <si>
    <t xml:space="preserve">19-Dec-2024</t>
  </si>
  <si>
    <t xml:space="preserve">FR-024</t>
  </si>
  <si>
    <t xml:space="preserve">AGR-024</t>
  </si>
  <si>
    <t xml:space="preserve">Partner 24</t>
  </si>
  <si>
    <t xml:space="preserve">22-Dec-2024</t>
  </si>
  <si>
    <t xml:space="preserve">21-Jan-2025</t>
  </si>
  <si>
    <t xml:space="preserve">FR-025</t>
  </si>
  <si>
    <t xml:space="preserve">AGR-025</t>
  </si>
  <si>
    <t xml:space="preserve">Partner 25</t>
  </si>
  <si>
    <t xml:space="preserve">25-Jan-2024</t>
  </si>
  <si>
    <t xml:space="preserve">24-Feb-2024</t>
  </si>
  <si>
    <t xml:space="preserve">FR-026</t>
  </si>
  <si>
    <t xml:space="preserve">AGR-026</t>
  </si>
  <si>
    <t xml:space="preserve">Partner 26</t>
  </si>
  <si>
    <t xml:space="preserve">03-Feb-2024</t>
  </si>
  <si>
    <t xml:space="preserve">04-Mar-2024</t>
  </si>
  <si>
    <t xml:space="preserve">FR-027</t>
  </si>
  <si>
    <t xml:space="preserve">AGR-027</t>
  </si>
  <si>
    <t xml:space="preserve">Partner 27</t>
  </si>
  <si>
    <t xml:space="preserve">06-Mar-2024</t>
  </si>
  <si>
    <t xml:space="preserve">05-Apr-2024</t>
  </si>
  <si>
    <t xml:space="preserve">FR-028</t>
  </si>
  <si>
    <t xml:space="preserve">AGR-028</t>
  </si>
  <si>
    <t xml:space="preserve">Partner 28</t>
  </si>
  <si>
    <t xml:space="preserve">09-Apr-2024</t>
  </si>
  <si>
    <t xml:space="preserve">09-May-2024</t>
  </si>
  <si>
    <t xml:space="preserve">FR-029</t>
  </si>
  <si>
    <t xml:space="preserve">AGR-029</t>
  </si>
  <si>
    <t xml:space="preserve">Partner 29</t>
  </si>
  <si>
    <t xml:space="preserve">12-May-2024</t>
  </si>
  <si>
    <t xml:space="preserve">11-Jun-2024</t>
  </si>
  <si>
    <t xml:space="preserve">FR-030</t>
  </si>
  <si>
    <t xml:space="preserve">AGR-030</t>
  </si>
  <si>
    <t xml:space="preserve">Partner 30</t>
  </si>
  <si>
    <t xml:space="preserve">15-Jun-2024</t>
  </si>
  <si>
    <t xml:space="preserve">15-Jul-2024</t>
  </si>
  <si>
    <t xml:space="preserve">FR-031</t>
  </si>
  <si>
    <t xml:space="preserve">AGR-031</t>
  </si>
  <si>
    <t xml:space="preserve">Partner 31</t>
  </si>
  <si>
    <t xml:space="preserve">18-Jul-2024</t>
  </si>
  <si>
    <t xml:space="preserve">17-Aug-2024</t>
  </si>
  <si>
    <t xml:space="preserve">FR-032</t>
  </si>
  <si>
    <t xml:space="preserve">AGR-032</t>
  </si>
  <si>
    <t xml:space="preserve">Partner 32</t>
  </si>
  <si>
    <t xml:space="preserve">21-Aug-2024</t>
  </si>
  <si>
    <t xml:space="preserve">20-Sep-2024</t>
  </si>
  <si>
    <t xml:space="preserve">FR-033</t>
  </si>
  <si>
    <t xml:space="preserve">AGR-033</t>
  </si>
  <si>
    <t xml:space="preserve">Partner 33</t>
  </si>
  <si>
    <t xml:space="preserve">24-Sep-2024</t>
  </si>
  <si>
    <t xml:space="preserve">24-Oct-2024</t>
  </si>
  <si>
    <t xml:space="preserve">FR-034</t>
  </si>
  <si>
    <t xml:space="preserve">AGR-034</t>
  </si>
  <si>
    <t xml:space="preserve">Partner 34</t>
  </si>
  <si>
    <t xml:space="preserve">02-Oct-2024</t>
  </si>
  <si>
    <t xml:space="preserve">01-Nov-2024</t>
  </si>
  <si>
    <t xml:space="preserve">FR-035</t>
  </si>
  <si>
    <t xml:space="preserve">AGR-035</t>
  </si>
  <si>
    <t xml:space="preserve">Partner 35</t>
  </si>
  <si>
    <t xml:space="preserve">05-Nov-2024</t>
  </si>
  <si>
    <t xml:space="preserve">05-Dec-2024</t>
  </si>
  <si>
    <t xml:space="preserve">FR-036</t>
  </si>
  <si>
    <t xml:space="preserve">AGR-036</t>
  </si>
  <si>
    <t xml:space="preserve">Partner 36</t>
  </si>
  <si>
    <t xml:space="preserve">08-Dec-2024</t>
  </si>
  <si>
    <t xml:space="preserve">07-Jan-2025</t>
  </si>
  <si>
    <t xml:space="preserve">FR-037</t>
  </si>
  <si>
    <t xml:space="preserve">AGR-037</t>
  </si>
  <si>
    <t xml:space="preserve">Partner 37</t>
  </si>
  <si>
    <t xml:space="preserve">11-Jan-2024</t>
  </si>
  <si>
    <t xml:space="preserve">10-Feb-2024</t>
  </si>
  <si>
    <t xml:space="preserve">FR-038</t>
  </si>
  <si>
    <t xml:space="preserve">AGR-038</t>
  </si>
  <si>
    <t xml:space="preserve">Partner 38</t>
  </si>
  <si>
    <t xml:space="preserve">14-Feb-2024</t>
  </si>
  <si>
    <t xml:space="preserve">15-Mar-2024</t>
  </si>
  <si>
    <t xml:space="preserve">FR-039</t>
  </si>
  <si>
    <t xml:space="preserve">AGR-039</t>
  </si>
  <si>
    <t xml:space="preserve">Partner 39</t>
  </si>
  <si>
    <t xml:space="preserve">17-Mar-2024</t>
  </si>
  <si>
    <t xml:space="preserve">16-Apr-2024</t>
  </si>
  <si>
    <t xml:space="preserve">FR-040</t>
  </si>
  <si>
    <t xml:space="preserve">AGR-040</t>
  </si>
  <si>
    <t xml:space="preserve">Partner 40</t>
  </si>
  <si>
    <t xml:space="preserve">20-Apr-2024</t>
  </si>
  <si>
    <t xml:space="preserve">20-May-2024</t>
  </si>
  <si>
    <t xml:space="preserve">Transaction ID</t>
  </si>
  <si>
    <t xml:space="preserve">Transaction Date</t>
  </si>
  <si>
    <t xml:space="preserve">ESM Bank</t>
  </si>
  <si>
    <t xml:space="preserve">Beneficiary Name</t>
  </si>
  <si>
    <t xml:space="preserve">ESM-OUT-001</t>
  </si>
  <si>
    <t xml:space="preserve">05-Apr-2023</t>
  </si>
  <si>
    <t xml:space="preserve">Bank Arunika</t>
  </si>
  <si>
    <t xml:space="preserve">ESM-OUT-002</t>
  </si>
  <si>
    <t xml:space="preserve">18-Apr-2023</t>
  </si>
  <si>
    <t xml:space="preserve">Bank Yudhistira</t>
  </si>
  <si>
    <t xml:space="preserve">ESM-OUT-003</t>
  </si>
  <si>
    <t xml:space="preserve">11-May-2023</t>
  </si>
  <si>
    <t xml:space="preserve">ESM-OUT-004</t>
  </si>
  <si>
    <t xml:space="preserve">07-Jun-2023</t>
  </si>
  <si>
    <t xml:space="preserve">VND-JS-02</t>
  </si>
  <si>
    <t xml:space="preserve">ESM-OUT-005</t>
  </si>
  <si>
    <t xml:space="preserve">29-Jun-2023</t>
  </si>
  <si>
    <t xml:space="preserve">VND-KS-01</t>
  </si>
  <si>
    <t xml:space="preserve">ESM-OUT-006</t>
  </si>
  <si>
    <t xml:space="preserve">ESM-OUT-007</t>
  </si>
  <si>
    <t xml:space="preserve">12-Jul-2023</t>
  </si>
  <si>
    <t xml:space="preserve">ESM-OUT-008</t>
  </si>
  <si>
    <t xml:space="preserve">15-Aug-2023</t>
  </si>
  <si>
    <t xml:space="preserve">VND-BD-03</t>
  </si>
  <si>
    <t xml:space="preserve">ESM-OUT-009</t>
  </si>
  <si>
    <t xml:space="preserve">ESM-OUT-010</t>
  </si>
  <si>
    <t xml:space="preserve">14-Sep-2023</t>
  </si>
  <si>
    <t xml:space="preserve">VND-KS-02</t>
  </si>
  <si>
    <t xml:space="preserve">ESM-OUT-011</t>
  </si>
  <si>
    <t xml:space="preserve">19-Sep-2023</t>
  </si>
  <si>
    <t xml:space="preserve">VND-MD-02</t>
  </si>
  <si>
    <t xml:space="preserve">ESM-OUT-012</t>
  </si>
  <si>
    <t xml:space="preserve">27-Sep-2023</t>
  </si>
  <si>
    <t xml:space="preserve">ESM-OUT-013</t>
  </si>
  <si>
    <t xml:space="preserve">03-Oct-2023</t>
  </si>
  <si>
    <t xml:space="preserve">ESM-OUT-014</t>
  </si>
  <si>
    <t xml:space="preserve">19-Oct-2023</t>
  </si>
  <si>
    <t xml:space="preserve">VND-PJ-02</t>
  </si>
  <si>
    <t xml:space="preserve">ESM-OUT-015</t>
  </si>
  <si>
    <t xml:space="preserve">10-Nov-2023</t>
  </si>
  <si>
    <t xml:space="preserve">VND-JS-01</t>
  </si>
  <si>
    <t xml:space="preserve">ESM-OUT-016</t>
  </si>
  <si>
    <t xml:space="preserve">16-Nov-2023</t>
  </si>
  <si>
    <t xml:space="preserve">ESM-OUT-017</t>
  </si>
  <si>
    <t xml:space="preserve">05-Dec-2023</t>
  </si>
  <si>
    <t xml:space="preserve">VND-TI-03</t>
  </si>
  <si>
    <t xml:space="preserve">ESM-OUT-018</t>
  </si>
  <si>
    <t xml:space="preserve">ESM-OUT-019</t>
  </si>
  <si>
    <t xml:space="preserve">21-Dec-2023</t>
  </si>
  <si>
    <t xml:space="preserve">VND-BD-02</t>
  </si>
  <si>
    <t xml:space="preserve">ESM-OUT-020</t>
  </si>
  <si>
    <t xml:space="preserve">17-Jan-2024</t>
  </si>
  <si>
    <t xml:space="preserve">ESM-OUT-021</t>
  </si>
  <si>
    <t xml:space="preserve">30-Jan-2024</t>
  </si>
  <si>
    <t xml:space="preserve">VND-DI-01</t>
  </si>
  <si>
    <t xml:space="preserve">ESM-OUT-022</t>
  </si>
  <si>
    <t xml:space="preserve">08-Feb-2024</t>
  </si>
  <si>
    <t xml:space="preserve">VND-TP-02</t>
  </si>
  <si>
    <t xml:space="preserve">ESM-OUT-023</t>
  </si>
  <si>
    <t xml:space="preserve">23-Feb-2024</t>
  </si>
  <si>
    <t xml:space="preserve">ESM-OUT-024</t>
  </si>
  <si>
    <t xml:space="preserve">21-Mar-2024</t>
  </si>
  <si>
    <t xml:space="preserve">ESM-OUT-025</t>
  </si>
  <si>
    <t xml:space="preserve">27-Mar-2024</t>
  </si>
  <si>
    <t xml:space="preserve">ESM-OUT-026</t>
  </si>
  <si>
    <t xml:space="preserve">22-Apr-2024</t>
  </si>
  <si>
    <t xml:space="preserve">ESM-OUT-027</t>
  </si>
  <si>
    <t xml:space="preserve">14-May-2024</t>
  </si>
  <si>
    <t xml:space="preserve">ESM-OUT-028</t>
  </si>
  <si>
    <t xml:space="preserve">28-May-2024</t>
  </si>
  <si>
    <t xml:space="preserve">VND-BD-04</t>
  </si>
  <si>
    <t xml:space="preserve">ESM-OUT-029</t>
  </si>
  <si>
    <t xml:space="preserve">17-Jun-2024</t>
  </si>
  <si>
    <t xml:space="preserve">ESM-OUT-030</t>
  </si>
  <si>
    <t xml:space="preserve">19-Jul-2024</t>
  </si>
  <si>
    <t xml:space="preserve">ESM-OUT-031</t>
  </si>
  <si>
    <t xml:space="preserve">30-Jul-2024</t>
  </si>
  <si>
    <t xml:space="preserve">VND-KM-02</t>
  </si>
  <si>
    <t xml:space="preserve">ESM-OUT-032</t>
  </si>
  <si>
    <t xml:space="preserve">08-Aug-2024</t>
  </si>
  <si>
    <t xml:space="preserve">VND-MD-01</t>
  </si>
  <si>
    <t xml:space="preserve">ESM-OUT-033</t>
  </si>
  <si>
    <t xml:space="preserve">27-Aug-2024</t>
  </si>
  <si>
    <t xml:space="preserve">VND-DI-03</t>
  </si>
  <si>
    <t xml:space="preserve">ESM-OUT-034</t>
  </si>
  <si>
    <t xml:space="preserve">03-Sep-2024</t>
  </si>
  <si>
    <t xml:space="preserve">ESM-OUT-035</t>
  </si>
  <si>
    <t xml:space="preserve">08-Oct-2024</t>
  </si>
  <si>
    <t xml:space="preserve">ESM-OUT-036</t>
  </si>
  <si>
    <t xml:space="preserve">22-Oct-2024</t>
  </si>
  <si>
    <t xml:space="preserve">VND-DI-02</t>
  </si>
  <si>
    <t xml:space="preserve">ESM-OUT-037</t>
  </si>
  <si>
    <t xml:space="preserve">25-Nov-2024</t>
  </si>
  <si>
    <t xml:space="preserve">VND-TP-01</t>
  </si>
  <si>
    <t xml:space="preserve">Amount</t>
  </si>
  <si>
    <t xml:space="preserve">Currency</t>
  </si>
  <si>
    <t xml:space="preserve">Maker User ID</t>
  </si>
  <si>
    <t xml:space="preserve">Checker User ID</t>
  </si>
  <si>
    <t xml:space="preserve">Approver User ID</t>
  </si>
  <si>
    <t xml:space="preserve">CTR-2024-011</t>
  </si>
  <si>
    <t xml:space="preserve">IDR</t>
  </si>
  <si>
    <t xml:space="preserve">Raw material procurement</t>
  </si>
  <si>
    <t xml:space="preserve">USR-FIN-02</t>
  </si>
  <si>
    <t xml:space="preserve">REQ-RNS-001</t>
  </si>
  <si>
    <t xml:space="preserve">Expansion cost adjustment</t>
  </si>
  <si>
    <t xml:space="preserve">REQ-RNS-015</t>
  </si>
  <si>
    <t xml:space="preserve">Project fund adjustment</t>
  </si>
  <si>
    <t xml:space="preserve">CTR-2024-057</t>
  </si>
  <si>
    <t xml:space="preserve">Operational support</t>
  </si>
  <si>
    <t xml:space="preserve">USR-FIN-01</t>
  </si>
  <si>
    <t xml:space="preserve">INV-LS-2404A</t>
  </si>
  <si>
    <t xml:space="preserve">Development consulting services</t>
  </si>
  <si>
    <t xml:space="preserve">REQ-RNS-007</t>
  </si>
  <si>
    <t xml:space="preserve">Expansion needs management</t>
  </si>
  <si>
    <t xml:space="preserve">REQ-RNS-011</t>
  </si>
  <si>
    <t xml:space="preserve">Expansion cost reimbursement</t>
  </si>
  <si>
    <t xml:space="preserve">REQ-ESM-014A</t>
  </si>
  <si>
    <t xml:space="preserve">Operational outgoing</t>
  </si>
  <si>
    <t xml:space="preserve">REQ-RNS-003</t>
  </si>
  <si>
    <t xml:space="preserve">Outlet needs payment</t>
  </si>
  <si>
    <t xml:space="preserve">CTR-2024-046</t>
  </si>
  <si>
    <t xml:space="preserve">Consulting services</t>
  </si>
  <si>
    <t xml:space="preserve">REQ-MKT-0919</t>
  </si>
  <si>
    <t xml:space="preserve">Media and promotional services</t>
  </si>
  <si>
    <t xml:space="preserve">REQ-RNS-013</t>
  </si>
  <si>
    <t xml:space="preserve">Operational activity settlement</t>
  </si>
  <si>
    <t xml:space="preserve">CTR-2024-014</t>
  </si>
  <si>
    <t xml:space="preserve">System development</t>
  </si>
  <si>
    <t xml:space="preserve">REQ-PJ-1019</t>
  </si>
  <si>
    <t xml:space="preserve">Project services</t>
  </si>
  <si>
    <t xml:space="preserve">INV-LN-0324</t>
  </si>
  <si>
    <t xml:space="preserve">Outlet operational services</t>
  </si>
  <si>
    <t xml:space="preserve">REQ-RNS-009</t>
  </si>
  <si>
    <t xml:space="preserve">Payment adjustment</t>
  </si>
  <si>
    <t xml:space="preserve">REQ-TECH-1205</t>
  </si>
  <si>
    <t xml:space="preserve">System feature development</t>
  </si>
  <si>
    <t xml:space="preserve">REQ-RNS-005</t>
  </si>
  <si>
    <t xml:space="preserve">Expansion fund placement</t>
  </si>
  <si>
    <t xml:space="preserve">CTR-2024-035</t>
  </si>
  <si>
    <t xml:space="preserve">Additional raw material procurement</t>
  </si>
  <si>
    <t xml:space="preserve">REQ-RNS-002</t>
  </si>
  <si>
    <t xml:space="preserve">Operational cost settlement</t>
  </si>
  <si>
    <t xml:space="preserve">INV-LS-3110</t>
  </si>
  <si>
    <t xml:space="preserve">Distribution and logistics services</t>
  </si>
  <si>
    <t xml:space="preserve">CTR-2024-041</t>
  </si>
  <si>
    <t xml:space="preserve">Outlet location maintenance</t>
  </si>
  <si>
    <t xml:space="preserve">REQ-RNS-008</t>
  </si>
  <si>
    <t xml:space="preserve">Development cost payment</t>
  </si>
  <si>
    <t xml:space="preserve">REQ-RNS-012</t>
  </si>
  <si>
    <t xml:space="preserve">Expansion activity payment</t>
  </si>
  <si>
    <t xml:space="preserve">INV-LM-0824A</t>
  </si>
  <si>
    <t xml:space="preserve">Renovation project work</t>
  </si>
  <si>
    <t xml:space="preserve">CTR-RNS-2024-01</t>
  </si>
  <si>
    <t xml:space="preserve">Area expansion coordination services</t>
  </si>
  <si>
    <t xml:space="preserve">REQ-RNS-004</t>
  </si>
  <si>
    <t xml:space="preserve">INV-BP-0528</t>
  </si>
  <si>
    <t xml:space="preserve">CTR-2024-027</t>
  </si>
  <si>
    <t xml:space="preserve">REQ-RNS-014</t>
  </si>
  <si>
    <t xml:space="preserve">Development cost reallocation</t>
  </si>
  <si>
    <t xml:space="preserve">INV-KM-0730</t>
  </si>
  <si>
    <t xml:space="preserve">Packaging material procurement</t>
  </si>
  <si>
    <t xml:space="preserve">CTR-2024-021</t>
  </si>
  <si>
    <t xml:space="preserve">Marketing services</t>
  </si>
  <si>
    <t xml:space="preserve">REQ-DIST-0827</t>
  </si>
  <si>
    <t xml:space="preserve">Logistics services</t>
  </si>
  <si>
    <t xml:space="preserve">REQ-RNS-006</t>
  </si>
  <si>
    <t xml:space="preserve">REQ-RNS-010</t>
  </si>
  <si>
    <t xml:space="preserve">Operational funds held in custody</t>
  </si>
  <si>
    <t xml:space="preserve">CTR-2024-052</t>
  </si>
  <si>
    <t xml:space="preserve">Distribution services</t>
  </si>
  <si>
    <t xml:space="preserve">INV-LT-1125</t>
  </si>
  <si>
    <t xml:space="preserve">Location maintenance services</t>
  </si>
  <si>
    <t xml:space="preserve">Contract Period</t>
  </si>
  <si>
    <t xml:space="preserve">Payment Terms</t>
  </si>
  <si>
    <t xml:space="preserve">Contract Document</t>
  </si>
  <si>
    <t xml:space="preserve">5 years</t>
  </si>
  <si>
    <t xml:space="preserve">Paid in accordance with the invoice/agreement terms</t>
  </si>
  <si>
    <t xml:space="preserve">AGR-001.pdf</t>
  </si>
  <si>
    <t xml:space="preserve">AGR-002.pdf</t>
  </si>
  <si>
    <t xml:space="preserve">AGR-003.pdf</t>
  </si>
  <si>
    <t xml:space="preserve">AGR-004.pdf</t>
  </si>
  <si>
    <t xml:space="preserve">AGR-005.pdf</t>
  </si>
  <si>
    <t xml:space="preserve">AGR-006.pdf</t>
  </si>
  <si>
    <t xml:space="preserve">AGR-007.pdf</t>
  </si>
  <si>
    <t xml:space="preserve">AGR-008.pdf</t>
  </si>
  <si>
    <t xml:space="preserve">AGR-009.pdf</t>
  </si>
  <si>
    <t xml:space="preserve">AGR-010.pdf</t>
  </si>
  <si>
    <t xml:space="preserve">AGR-011.pdf</t>
  </si>
  <si>
    <t xml:space="preserve">AGR-012.pdf</t>
  </si>
  <si>
    <t xml:space="preserve">AGR-013.pdf</t>
  </si>
  <si>
    <t xml:space="preserve">AGR-014.pdf</t>
  </si>
  <si>
    <t xml:space="preserve">AGR-015.pdf</t>
  </si>
  <si>
    <t xml:space="preserve">AGR-016.pdf</t>
  </si>
  <si>
    <t xml:space="preserve">AGR-017.pdf</t>
  </si>
  <si>
    <t xml:space="preserve">AGR-018.pdf</t>
  </si>
  <si>
    <t xml:space="preserve">AGR-019.pdf</t>
  </si>
  <si>
    <t xml:space="preserve">AGR-020.pdf</t>
  </si>
  <si>
    <t xml:space="preserve">AGR-021.pdf</t>
  </si>
  <si>
    <t xml:space="preserve">AGR-022.pdf</t>
  </si>
  <si>
    <t xml:space="preserve">AGR-023.pdf</t>
  </si>
  <si>
    <t xml:space="preserve">AGR-024.pdf</t>
  </si>
  <si>
    <t xml:space="preserve">AGR-025.pdf</t>
  </si>
  <si>
    <t xml:space="preserve">AGR-026.pdf</t>
  </si>
  <si>
    <t xml:space="preserve">AGR-027.pdf</t>
  </si>
  <si>
    <t xml:space="preserve">AGR-028.pdf</t>
  </si>
  <si>
    <t xml:space="preserve">AGR-029.pdf</t>
  </si>
  <si>
    <t xml:space="preserve">AGR-030.pdf</t>
  </si>
  <si>
    <t xml:space="preserve">AGR-031.pdf</t>
  </si>
  <si>
    <t xml:space="preserve">AGR-032.pdf</t>
  </si>
  <si>
    <t xml:space="preserve">AGR-033.pdf</t>
  </si>
  <si>
    <t xml:space="preserve">AGR-034.pdf</t>
  </si>
  <si>
    <t xml:space="preserve">AGR-035.pdf</t>
  </si>
  <si>
    <t xml:space="preserve">AGR-036.pdf</t>
  </si>
  <si>
    <t xml:space="preserve">AGR-037.pdf</t>
  </si>
  <si>
    <t xml:space="preserve">AGR-038.pdf</t>
  </si>
  <si>
    <t xml:space="preserve">AGR-039.pdf</t>
  </si>
  <si>
    <t xml:space="preserve">AGR-040.pdf</t>
  </si>
  <si>
    <t xml:space="preserve">Available Documents/Evidence</t>
  </si>
  <si>
    <t xml:space="preserve">Substantive Notes</t>
  </si>
  <si>
    <t xml:space="preserve">Contract/PO/SPK; Invoice; Work/hand-over report; Evidence of receipt of goods/services; Board of Directors approval</t>
  </si>
  <si>
    <t xml:space="preserve">Contract/PO/SPK, invoice, work/hand-over report, evidence of receipt of goods/services, and Board of Directors approval are on file for this transaction.</t>
  </si>
  <si>
    <t xml:space="preserve">Payment Request; transfer evidence; email/internal instructions</t>
  </si>
  <si>
    <t xml:space="preserve">Only a Payment Request, transfer evidence, and email/internal instructions are on file for this transaction. No contract, PO/SPK, work/delivery report, or evidence of</t>
  </si>
  <si>
    <t xml:space="preserve">Contract/PO/SPK; Invoice; Work/hand-over report; Evidence of receipt of goods/services; Board of Directors</t>
  </si>
  <si>
    <t xml:space="preserve">Invoice only; contract/SPK, work report, and evidence of receipt of services are not available.</t>
  </si>
  <si>
    <t xml:space="preserve">Only an invoice is on file for this transaction. No contract/SPK, work report, or evidence of receipt of services was located.</t>
  </si>
  <si>
    <t xml:space="preserve">Payment request and email instruction; invoice and evidence of receipt of benefits are not available.</t>
  </si>
  <si>
    <t xml:space="preserve">Only a payment request and email instruction are on file for this transaction. No invoice or evidence of receipt of benefits was located.</t>
  </si>
  <si>
    <t xml:space="preserve">Invoice and promotional materials; PO/SPK and complete evidence of deliverables are not available.</t>
  </si>
  <si>
    <t xml:space="preserve">An invoice and promotional materials are on file for this transaction. No PO/SPK or complete evidence of deliverables was located.</t>
  </si>
  <si>
    <t xml:space="preserve">Payment request; invoice is not supported by a contract and work report.</t>
  </si>
  <si>
    <t xml:space="preserve">A payment request and invoice is not supported by a contract and work report was located.</t>
  </si>
  <si>
    <t xml:space="preserve">Invoice and email instruction are available; contract/SPK and work report are not available.</t>
  </si>
  <si>
    <t xml:space="preserve">An invoice and email instruction are on file for this transaction. No contract/SPK or work report was located.</t>
  </si>
  <si>
    <t xml:space="preserve">Request email and invoice; contract/SPK and completion report are not available.</t>
  </si>
  <si>
    <t xml:space="preserve">A request email and invoice are on file for this transaction. No contract/SPK or completion report was located.</t>
  </si>
  <si>
    <t xml:space="preserve">Invoice is available; PO/contract and hand-over report are not available.</t>
  </si>
  <si>
    <t xml:space="preserve">An invoice is on file for this transaction. No PO/contract or hand-over report was located.</t>
  </si>
  <si>
    <t xml:space="preserve">Invoice and work photos are available; contract/PO, work report, and milestone evidence are not available.</t>
  </si>
  <si>
    <t xml:space="preserve">An invoice and work photos are on file for this transaction. No contract/PO, work report, or milestone evidence was located.</t>
  </si>
  <si>
    <t xml:space="preserve">Invoice and delivery note; PO and receipt report are not available.</t>
  </si>
  <si>
    <t xml:space="preserve">An invoice and delivery note are on file for this transaction. No PO or receipt report was located.</t>
  </si>
  <si>
    <t xml:space="preserve">Invoice and delivery note; contract/PO and hand-over report are not available.</t>
  </si>
  <si>
    <t xml:space="preserve">An invoice and delivery note are on file for this transaction. No contract/PO or hand-over report was located.</t>
  </si>
  <si>
    <t xml:space="preserve">Payment request and email; contract, invoice, and evidence of receipt of services are not available.</t>
  </si>
  <si>
    <t xml:space="preserve">A payment request and email are on file for this transaction. No contract, invoice, or evidence of receipt of services was located.</t>
  </si>
  <si>
    <t xml:space="preserve">Invoice and location photos are available; contract and work report are not available.</t>
  </si>
  <si>
    <t xml:space="preserve">An invoice and location photos are on file for this transaction. No contract or work report was located.</t>
  </si>
  <si>
    <t xml:space="preserve">Sender Name</t>
  </si>
  <si>
    <t xml:space="preserve">Sender Account</t>
  </si>
  <si>
    <t xml:space="preserve">Control</t>
  </si>
  <si>
    <t xml:space="preserve">ESM-IN-001</t>
  </si>
  <si>
    <t xml:space="preserve">03-Feb-2023</t>
  </si>
  <si>
    <t xml:space="preserve">MT-01-ACC</t>
  </si>
  <si>
    <t xml:space="preserve">Franchise fee payment</t>
  </si>
  <si>
    <t xml:space="preserve">Total Incoming</t>
  </si>
  <si>
    <t xml:space="preserve">ESM-IN-002</t>
  </si>
  <si>
    <t xml:space="preserve">10-Feb-2023</t>
  </si>
  <si>
    <t xml:space="preserve">MT-02-ACC</t>
  </si>
  <si>
    <t xml:space="preserve">ESM-IN-003</t>
  </si>
  <si>
    <t xml:space="preserve">02-Mar-2023</t>
  </si>
  <si>
    <t xml:space="preserve">MT-03-ACC</t>
  </si>
  <si>
    <t xml:space="preserve">ESM-IN-004</t>
  </si>
  <si>
    <t xml:space="preserve">17-Mar-2023</t>
  </si>
  <si>
    <t xml:space="preserve">MT-04-ACC</t>
  </si>
  <si>
    <t xml:space="preserve">ESM-IN-005</t>
  </si>
  <si>
    <t xml:space="preserve">MT-05-ACC</t>
  </si>
  <si>
    <t xml:space="preserve">ESM-IN-006</t>
  </si>
  <si>
    <t xml:space="preserve">MT-06-ACC</t>
  </si>
  <si>
    <t xml:space="preserve">ESM-IN-007</t>
  </si>
  <si>
    <t xml:space="preserve">05-May-2023</t>
  </si>
  <si>
    <t xml:space="preserve">MT-07-ACC</t>
  </si>
  <si>
    <t xml:space="preserve">ESM-IN-008</t>
  </si>
  <si>
    <t xml:space="preserve">22-May-2023</t>
  </si>
  <si>
    <t xml:space="preserve">MT-08-ACC</t>
  </si>
  <si>
    <t xml:space="preserve">ESM-IN-009</t>
  </si>
  <si>
    <t xml:space="preserve">08-Jun-2023</t>
  </si>
  <si>
    <t xml:space="preserve">MT-09-ACC</t>
  </si>
  <si>
    <t xml:space="preserve">ESM-IN-010</t>
  </si>
  <si>
    <t xml:space="preserve">21-Jun-2023</t>
  </si>
  <si>
    <t xml:space="preserve">MT-10-ACC</t>
  </si>
  <si>
    <t xml:space="preserve">ESM-IN-011</t>
  </si>
  <si>
    <t xml:space="preserve">MT-11-ACC</t>
  </si>
  <si>
    <t xml:space="preserve">ESM-IN-012</t>
  </si>
  <si>
    <t xml:space="preserve">MT-12-ACC</t>
  </si>
  <si>
    <t xml:space="preserve">ESM-IN-013</t>
  </si>
  <si>
    <t xml:space="preserve">07-Aug-2023</t>
  </si>
  <si>
    <t xml:space="preserve">MT-13-ACC</t>
  </si>
  <si>
    <t xml:space="preserve">ESM-IN-014</t>
  </si>
  <si>
    <t xml:space="preserve">MT-14-ACC</t>
  </si>
  <si>
    <t xml:space="preserve">ESM-IN-015</t>
  </si>
  <si>
    <t xml:space="preserve">08-Sep-2023</t>
  </si>
  <si>
    <t xml:space="preserve">MT-15-ACC</t>
  </si>
  <si>
    <t xml:space="preserve">ESM-IN-016</t>
  </si>
  <si>
    <t xml:space="preserve">25-Sep-2023</t>
  </si>
  <si>
    <t xml:space="preserve">MT-16-ACC</t>
  </si>
  <si>
    <t xml:space="preserve">ESM-IN-017</t>
  </si>
  <si>
    <t xml:space="preserve">12-Oct-2023</t>
  </si>
  <si>
    <t xml:space="preserve">MT-17-ACC</t>
  </si>
  <si>
    <t xml:space="preserve">ESM-IN-018</t>
  </si>
  <si>
    <t xml:space="preserve">27-Oct-2023</t>
  </si>
  <si>
    <t xml:space="preserve">MT-18-ACC</t>
  </si>
  <si>
    <t xml:space="preserve">ESM-IN-019</t>
  </si>
  <si>
    <t xml:space="preserve">09-Nov-2023</t>
  </si>
  <si>
    <t xml:space="preserve">MT-19-ACC</t>
  </si>
  <si>
    <t xml:space="preserve">ESM-IN-020</t>
  </si>
  <si>
    <t xml:space="preserve">24-Nov-2023</t>
  </si>
  <si>
    <t xml:space="preserve">MT-20-ACC</t>
  </si>
  <si>
    <t xml:space="preserve">ESM-IN-021</t>
  </si>
  <si>
    <t xml:space="preserve">MT-21-ACC</t>
  </si>
  <si>
    <t xml:space="preserve">ESM-IN-022</t>
  </si>
  <si>
    <t xml:space="preserve">MT-22-ACC</t>
  </si>
  <si>
    <t xml:space="preserve">ESM-IN-023</t>
  </si>
  <si>
    <t xml:space="preserve">12-Feb-2024</t>
  </si>
  <si>
    <t xml:space="preserve">MT-23-ACC</t>
  </si>
  <si>
    <t xml:space="preserve">ESM-IN-024</t>
  </si>
  <si>
    <t xml:space="preserve">27-Feb-2024</t>
  </si>
  <si>
    <t xml:space="preserve">MT-24-ACC</t>
  </si>
  <si>
    <t xml:space="preserve">ESM-IN-025</t>
  </si>
  <si>
    <t xml:space="preserve">14-Mar-2024</t>
  </si>
  <si>
    <t xml:space="preserve">MT-25-ACC</t>
  </si>
  <si>
    <t xml:space="preserve">ESM-IN-026</t>
  </si>
  <si>
    <t xml:space="preserve">02-Apr-2024</t>
  </si>
  <si>
    <t xml:space="preserve">MT-26-ACC</t>
  </si>
  <si>
    <t xml:space="preserve">ESM-IN-027</t>
  </si>
  <si>
    <t xml:space="preserve">18-Apr-2024</t>
  </si>
  <si>
    <t xml:space="preserve">MT-27-ACC</t>
  </si>
  <si>
    <t xml:space="preserve">ESM-IN-028</t>
  </si>
  <si>
    <t xml:space="preserve">03-May-2024</t>
  </si>
  <si>
    <t xml:space="preserve">MT-28-ACC</t>
  </si>
  <si>
    <t xml:space="preserve">ESM-IN-029</t>
  </si>
  <si>
    <t xml:space="preserve">17-May-2024</t>
  </si>
  <si>
    <t xml:space="preserve">MT-29-ACC</t>
  </si>
  <si>
    <t xml:space="preserve">ESM-IN-030</t>
  </si>
  <si>
    <t xml:space="preserve">04-Jun-2024</t>
  </si>
  <si>
    <t xml:space="preserve">MT-30-ACC</t>
  </si>
  <si>
    <t xml:space="preserve">ESM-IN-031</t>
  </si>
  <si>
    <t xml:space="preserve">21-Jun-2024</t>
  </si>
  <si>
    <t xml:space="preserve">MT-31-ACC</t>
  </si>
  <si>
    <t xml:space="preserve">ESM-IN-032</t>
  </si>
  <si>
    <t xml:space="preserve">08-Jul-2024</t>
  </si>
  <si>
    <t xml:space="preserve">MT-32-ACC</t>
  </si>
  <si>
    <t xml:space="preserve">ESM-IN-033</t>
  </si>
  <si>
    <t xml:space="preserve">25-Jul-2024</t>
  </si>
  <si>
    <t xml:space="preserve">MT-33-ACC</t>
  </si>
  <si>
    <t xml:space="preserve">ESM-IN-034</t>
  </si>
  <si>
    <t xml:space="preserve">09-Aug-2024</t>
  </si>
  <si>
    <t xml:space="preserve">MT-34-ACC</t>
  </si>
  <si>
    <t xml:space="preserve">ESM-IN-035</t>
  </si>
  <si>
    <t xml:space="preserve">23-Aug-2024</t>
  </si>
  <si>
    <t xml:space="preserve">MT-35-ACC</t>
  </si>
  <si>
    <t xml:space="preserve">ESM-IN-036</t>
  </si>
  <si>
    <t xml:space="preserve">06-Sep-2024</t>
  </si>
  <si>
    <t xml:space="preserve">MT-36-ACC</t>
  </si>
  <si>
    <t xml:space="preserve">ESM-IN-037</t>
  </si>
  <si>
    <t xml:space="preserve">MT-37-ACC</t>
  </si>
  <si>
    <t xml:space="preserve">ESM-IN-038</t>
  </si>
  <si>
    <t xml:space="preserve">07-Oct-2024</t>
  </si>
  <si>
    <t xml:space="preserve">MT-38-ACC</t>
  </si>
  <si>
    <t xml:space="preserve">ESM-IN-039</t>
  </si>
  <si>
    <t xml:space="preserve">MT-39-ACC</t>
  </si>
  <si>
    <t xml:space="preserve">ESM-IN-040</t>
  </si>
  <si>
    <t xml:space="preserve">08-Nov-2024</t>
  </si>
  <si>
    <t xml:space="preserve">MT-40-ACC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</si>
</sst>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"/>
    <numFmt numFmtId="167" formatCode="0.0%"/>
    <numFmt numFmtId="168" formatCode="@"/>
    <numFmt numFmtId="169" formatCode="dd\-mmm\-yyyy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8734A"/>
        <bgColor rgb="FFFF6600"/>
      </patternFill>
    </fill>
    <fill>
      <patternFill patternType="solid">
        <fgColor rgb="FFF2B6A0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E8734A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8D7DA"/>
      <rgbColor rgb="FF99CCFF"/>
      <rgbColor rgb="FFFF99CC"/>
      <rgbColor rgb="FFCC99FF"/>
      <rgbColor rgb="FFF2B6A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5" t="n">
        <f aca="false">SUM('Franchise Register'!H2:H41)</f>
        <v>26930000000</v>
      </c>
    </row>
    <row r="6" customFormat="false" ht="15" hidden="false" customHeight="false" outlineLevel="0" collapsed="false">
      <c r="A6" s="2" t="s">
        <v>5</v>
      </c>
      <c r="B6" s="5" t="n">
        <f aca="false">SUM('Incoming Transactions'!J2:J41)</f>
        <v>26930000000</v>
      </c>
    </row>
    <row r="7" customFormat="false" ht="15" hidden="false" customHeight="false" outlineLevel="0" collapsed="false">
      <c r="A7" s="2" t="s">
        <v>6</v>
      </c>
      <c r="B7" s="6" t="n">
        <f aca="false">'B-Receipt Recon'!F51</f>
        <v>0</v>
      </c>
    </row>
    <row r="8" customFormat="false" ht="15" hidden="false" customHeight="false" outlineLevel="0" collapsed="false">
      <c r="A8" s="2" t="s">
        <v>7</v>
      </c>
      <c r="B8" s="6" t="n">
        <f aca="false">'B-Receipt Recon'!F48</f>
        <v>21</v>
      </c>
    </row>
    <row r="9" customFormat="false" ht="15" hidden="false" customHeight="false" outlineLevel="0" collapsed="false">
      <c r="A9" s="2" t="s">
        <v>8</v>
      </c>
      <c r="B9" s="6" t="n">
        <f aca="false">'B-Receipt Recon'!F49</f>
        <v>16</v>
      </c>
    </row>
    <row r="10" customFormat="false" ht="15" hidden="false" customHeight="false" outlineLevel="0" collapsed="false">
      <c r="A10" s="2" t="s">
        <v>9</v>
      </c>
      <c r="B10" s="5" t="n">
        <f aca="false">'C-Outgoing Analysis'!H42</f>
        <v>20080000000</v>
      </c>
    </row>
    <row r="11" customFormat="false" ht="15" hidden="false" customHeight="false" outlineLevel="0" collapsed="false">
      <c r="A11" s="2" t="s">
        <v>10</v>
      </c>
      <c r="B11" s="5" t="n">
        <f aca="false">'H-Classification'!C5</f>
        <v>13000000000</v>
      </c>
    </row>
    <row r="12" customFormat="false" ht="15" hidden="false" customHeight="false" outlineLevel="0" collapsed="false">
      <c r="A12" s="2" t="s">
        <v>11</v>
      </c>
      <c r="B12" s="5" t="n">
        <f aca="false">'H-Classification'!C6+'H-Classification'!C7</f>
        <v>5080000000</v>
      </c>
    </row>
    <row r="13" customFormat="false" ht="15" hidden="false" customHeight="false" outlineLevel="0" collapsed="false">
      <c r="A13" s="2" t="s">
        <v>12</v>
      </c>
      <c r="B13" s="5" t="n">
        <f aca="false">'H-Classification'!C8</f>
        <v>2000000000</v>
      </c>
    </row>
    <row r="14" customFormat="false" ht="15" hidden="false" customHeight="false" outlineLevel="0" collapsed="false">
      <c r="A14" s="2" t="s">
        <v>13</v>
      </c>
      <c r="B14" s="7" t="n">
        <f aca="false">'D-Fund Tracing'!D5</f>
        <v>0.672310756972112</v>
      </c>
    </row>
    <row r="15" customFormat="false" ht="15" hidden="false" customHeight="false" outlineLevel="0" collapsed="false">
      <c r="A15" s="2" t="s">
        <v>14</v>
      </c>
      <c r="B15" s="6" t="n">
        <f aca="false">'H-Classification'!C13</f>
        <v>30</v>
      </c>
    </row>
    <row r="16" customFormat="false" ht="15" hidden="false" customHeight="false" outlineLevel="0" collapsed="false">
      <c r="A16" s="2" t="s">
        <v>15</v>
      </c>
      <c r="B16" s="8" t="str">
        <f aca="false">IF(COUNTIF('A-Tie-Out'!E5:E14,"PASS")=10,"YES","NO")</f>
        <v>YES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9" t="s">
        <v>16</v>
      </c>
      <c r="B19" s="2"/>
    </row>
    <row r="20" customFormat="false" ht="15" hidden="false" customHeight="false" outlineLevel="0" collapsed="false">
      <c r="A20" s="2" t="s">
        <v>17</v>
      </c>
      <c r="B20" s="10" t="s">
        <v>18</v>
      </c>
    </row>
    <row r="21" customFormat="false" ht="15" hidden="false" customHeight="false" outlineLevel="0" collapsed="false">
      <c r="A21" s="2" t="s">
        <v>19</v>
      </c>
      <c r="B21" s="10" t="s">
        <v>20</v>
      </c>
    </row>
    <row r="22" customFormat="false" ht="15" hidden="false" customHeight="false" outlineLevel="0" collapsed="false">
      <c r="A22" s="2" t="s">
        <v>21</v>
      </c>
      <c r="B22" s="10" t="s">
        <v>22</v>
      </c>
    </row>
    <row r="23" customFormat="false" ht="15" hidden="false" customHeight="false" outlineLevel="0" collapsed="false">
      <c r="A23" s="2" t="s">
        <v>23</v>
      </c>
      <c r="B23" s="10" t="s">
        <v>24</v>
      </c>
    </row>
    <row r="24" customFormat="false" ht="15" hidden="false" customHeight="false" outlineLevel="0" collapsed="false">
      <c r="A24" s="2" t="s">
        <v>25</v>
      </c>
      <c r="B24" s="10" t="s">
        <v>26</v>
      </c>
    </row>
    <row r="25" customFormat="false" ht="15" hidden="false" customHeight="false" outlineLevel="0" collapsed="false">
      <c r="A25" s="2" t="s">
        <v>27</v>
      </c>
      <c r="B25" s="10" t="s">
        <v>28</v>
      </c>
    </row>
    <row r="26" customFormat="false" ht="15" hidden="false" customHeight="false" outlineLevel="0" collapsed="false">
      <c r="A26" s="2" t="s">
        <v>29</v>
      </c>
      <c r="B26" s="10" t="s">
        <v>30</v>
      </c>
    </row>
    <row r="27" customFormat="false" ht="15" hidden="false" customHeight="false" outlineLevel="0" collapsed="false">
      <c r="A27" s="2" t="s">
        <v>31</v>
      </c>
      <c r="B27" s="10" t="s">
        <v>32</v>
      </c>
    </row>
    <row r="28" customFormat="false" ht="15" hidden="false" customHeight="false" outlineLevel="0" collapsed="false">
      <c r="A28" s="2"/>
      <c r="B28" s="2"/>
    </row>
    <row r="29" customFormat="false" ht="15" hidden="false" customHeight="false" outlineLevel="0" collapsed="false">
      <c r="A29" s="11" t="s">
        <v>33</v>
      </c>
      <c r="B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34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</row>
    <row r="5" customFormat="false" ht="15" hidden="false" customHeight="false" outlineLevel="0" collapsed="false">
      <c r="A5" s="2" t="s">
        <v>41</v>
      </c>
      <c r="B5" s="12" t="n">
        <f aca="false">SUM('Franchise Register'!H2:H41)</f>
        <v>26930000000</v>
      </c>
      <c r="C5" s="12" t="n">
        <f aca="false">SUM('Agreement Details'!G2:G41)</f>
        <v>26930000000</v>
      </c>
      <c r="D5" s="12" t="n">
        <f aca="false">B5-C5</f>
        <v>0</v>
      </c>
      <c r="E5" s="2" t="str">
        <f aca="false">IF(D5=0,"PASS","FAIL")</f>
        <v>PASS</v>
      </c>
    </row>
    <row r="6" customFormat="false" ht="15" hidden="false" customHeight="false" outlineLevel="0" collapsed="false">
      <c r="A6" s="2" t="s">
        <v>42</v>
      </c>
      <c r="B6" s="12" t="n">
        <f aca="false">SUM('Agreement Details'!G2:G41)</f>
        <v>26930000000</v>
      </c>
      <c r="C6" s="12" t="n">
        <f aca="false">SUM('Incoming Transactions'!J2:J41)</f>
        <v>26930000000</v>
      </c>
      <c r="D6" s="12" t="n">
        <f aca="false">B6-C6</f>
        <v>0</v>
      </c>
      <c r="E6" s="2" t="str">
        <f aca="false">IF(D6=0,"PASS","FAIL")</f>
        <v>PASS</v>
      </c>
    </row>
    <row r="7" customFormat="false" ht="15" hidden="false" customHeight="false" outlineLevel="0" collapsed="false">
      <c r="A7" s="2" t="s">
        <v>43</v>
      </c>
      <c r="B7" s="12" t="n">
        <f aca="false">'D-Fund Tracing'!B22</f>
        <v>26930000000</v>
      </c>
      <c r="C7" s="12" t="n">
        <f aca="false">SUM('Incoming Transactions'!J2:J41)</f>
        <v>26930000000</v>
      </c>
      <c r="D7" s="12" t="n">
        <f aca="false">B7-C7</f>
        <v>0</v>
      </c>
      <c r="E7" s="2" t="str">
        <f aca="false">IF(D7=0,"PASS","FAIL")</f>
        <v>PASS</v>
      </c>
    </row>
    <row r="8" customFormat="false" ht="15" hidden="false" customHeight="false" outlineLevel="0" collapsed="false">
      <c r="A8" s="2" t="s">
        <v>44</v>
      </c>
      <c r="B8" s="12" t="n">
        <f aca="false">COUNTA('Franchise Register'!C2:C41)</f>
        <v>40</v>
      </c>
      <c r="C8" s="12" t="n">
        <f aca="false">COUNTA('Incoming Transactions'!I2:I41)</f>
        <v>40</v>
      </c>
      <c r="D8" s="12" t="n">
        <f aca="false">B8-C8</f>
        <v>0</v>
      </c>
      <c r="E8" s="2" t="str">
        <f aca="false">IF(D8=0,"PASS","FAIL")</f>
        <v>PASS</v>
      </c>
    </row>
    <row r="9" customFormat="false" ht="15" hidden="false" customHeight="false" outlineLevel="0" collapsed="false">
      <c r="A9" s="2" t="s">
        <v>45</v>
      </c>
      <c r="B9" s="12" t="n">
        <f aca="false">COUNTA('Outgoing Transactions'!B2:B38)</f>
        <v>37</v>
      </c>
      <c r="C9" s="12" t="n">
        <f aca="false">COUNTA('Transaction Evidence'!A2:A38)</f>
        <v>37</v>
      </c>
      <c r="D9" s="12" t="n">
        <f aca="false">B9-C9</f>
        <v>0</v>
      </c>
      <c r="E9" s="2" t="str">
        <f aca="false">IF(D9=0,"PASS","FAIL")</f>
        <v>PASS</v>
      </c>
    </row>
    <row r="10" customFormat="false" ht="15" hidden="false" customHeight="false" outlineLevel="0" collapsed="false">
      <c r="A10" s="2" t="s">
        <v>46</v>
      </c>
      <c r="B10" s="12" t="n">
        <f aca="false">SUM('Transaction Evidence'!D2:D38)</f>
        <v>20080000000</v>
      </c>
      <c r="C10" s="12" t="n">
        <f aca="false">SUM('Payment Approval'!C2:C38)</f>
        <v>20080000000</v>
      </c>
      <c r="D10" s="12" t="n">
        <f aca="false">B10-C10</f>
        <v>0</v>
      </c>
      <c r="E10" s="2" t="str">
        <f aca="false">IF(D10=0,"PASS","FAIL")</f>
        <v>PASS</v>
      </c>
    </row>
    <row r="11" customFormat="false" ht="15" hidden="false" customHeight="false" outlineLevel="0" collapsed="false">
      <c r="A11" s="2" t="s">
        <v>47</v>
      </c>
      <c r="B11" s="12" t="n">
        <f aca="false">'C-Outgoing Analysis'!H42</f>
        <v>20080000000</v>
      </c>
      <c r="C11" s="12" t="n">
        <f aca="false">SUM('Transaction Evidence'!D2:D38)</f>
        <v>20080000000</v>
      </c>
      <c r="D11" s="12" t="n">
        <f aca="false">B11-C11</f>
        <v>0</v>
      </c>
      <c r="E11" s="2" t="str">
        <f aca="false">IF(D11=0,"PASS","FAIL")</f>
        <v>PASS</v>
      </c>
    </row>
    <row r="12" customFormat="false" ht="15" hidden="false" customHeight="false" outlineLevel="0" collapsed="false">
      <c r="A12" s="2" t="s">
        <v>48</v>
      </c>
      <c r="B12" s="12" t="n">
        <f aca="false">'D-Fund Tracing'!C15</f>
        <v>20080000000</v>
      </c>
      <c r="C12" s="12" t="n">
        <f aca="false">'C-Outgoing Analysis'!H42</f>
        <v>20080000000</v>
      </c>
      <c r="D12" s="12" t="n">
        <f aca="false">B12-C12</f>
        <v>0</v>
      </c>
      <c r="E12" s="2" t="str">
        <f aca="false">IF(D12=0,"PASS","FAIL")</f>
        <v>PASS</v>
      </c>
    </row>
    <row r="13" customFormat="false" ht="15" hidden="false" customHeight="false" outlineLevel="0" collapsed="false">
      <c r="A13" s="2" t="s">
        <v>49</v>
      </c>
      <c r="B13" s="12" t="n">
        <f aca="false">'H-Classification'!C9</f>
        <v>20080000000</v>
      </c>
      <c r="C13" s="12" t="n">
        <f aca="false">'C-Outgoing Analysis'!H42</f>
        <v>20080000000</v>
      </c>
      <c r="D13" s="12" t="n">
        <f aca="false">B13-C13</f>
        <v>0</v>
      </c>
      <c r="E13" s="2" t="str">
        <f aca="false">IF(D13=0,"PASS","FAIL")</f>
        <v>PASS</v>
      </c>
    </row>
    <row r="14" customFormat="false" ht="15" hidden="false" customHeight="false" outlineLevel="0" collapsed="false">
      <c r="A14" s="2" t="s">
        <v>50</v>
      </c>
      <c r="B14" s="12" t="n">
        <f aca="false">'B-Receipt Recon'!F51</f>
        <v>0</v>
      </c>
      <c r="C14" s="12" t="n">
        <v>0</v>
      </c>
      <c r="D14" s="12" t="n">
        <f aca="false">B14-C14</f>
        <v>0</v>
      </c>
      <c r="E14" s="2" t="str">
        <f aca="false">IF(D14=0,"PASS","FAIL")</f>
        <v>PASS</v>
      </c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9" t="s">
        <v>51</v>
      </c>
      <c r="B17" s="2"/>
      <c r="C17" s="2"/>
      <c r="D17" s="2"/>
      <c r="E17" s="2"/>
    </row>
    <row r="18" customFormat="false" ht="15" hidden="false" customHeight="false" outlineLevel="0" collapsed="false">
      <c r="A18" s="2" t="s">
        <v>52</v>
      </c>
      <c r="B18" s="12" t="n">
        <f aca="false">SUM('Incoming Transactions'!J2:J41)</f>
        <v>26930000000</v>
      </c>
      <c r="C18" s="2"/>
      <c r="D18" s="2"/>
      <c r="E18" s="2"/>
    </row>
    <row r="19" customFormat="false" ht="15" hidden="false" customHeight="false" outlineLevel="0" collapsed="false">
      <c r="A19" s="2" t="s">
        <v>53</v>
      </c>
      <c r="B19" s="12" t="n">
        <f aca="false">'C-Outgoing Analysis'!H42</f>
        <v>20080000000</v>
      </c>
      <c r="C19" s="2"/>
      <c r="D19" s="2"/>
      <c r="E19" s="2"/>
    </row>
    <row r="20" customFormat="false" ht="15" hidden="false" customHeight="false" outlineLevel="0" collapsed="false">
      <c r="A20" s="2" t="s">
        <v>54</v>
      </c>
      <c r="B20" s="12" t="n">
        <f aca="false">B18-B19</f>
        <v>6850000000</v>
      </c>
      <c r="C20" s="2"/>
      <c r="D20" s="2"/>
      <c r="E20" s="2"/>
    </row>
    <row r="21" customFormat="false" ht="15" hidden="false" customHeight="false" outlineLevel="0" collapsed="false">
      <c r="A21" s="2" t="s">
        <v>55</v>
      </c>
      <c r="B21" s="13" t="n">
        <f aca="false">B19/B18</f>
        <v>0.745636836242109</v>
      </c>
      <c r="C21" s="2"/>
      <c r="D21" s="2"/>
      <c r="E21" s="2"/>
    </row>
  </sheetData>
  <conditionalFormatting sqref="E5:E14">
    <cfRule type="expression" priority="2" aboveAverage="0" equalAverage="0" bottom="0" percent="0" rank="0" text="" dxfId="0">
      <formula>$E5="PASS"</formula>
    </cfRule>
    <cfRule type="expression" priority="3" aboveAverage="0" equalAverage="0" bottom="0" percent="0" rank="0" text="" dxfId="1">
      <formula>$E5="FAIL"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7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8" min="7" style="0" width="1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5" min="13" style="0" width="13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23.85" hidden="false" customHeight="false" outlineLevel="0" collapsed="false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  <c r="O4" s="4" t="s">
        <v>72</v>
      </c>
      <c r="P4" s="4" t="s">
        <v>73</v>
      </c>
      <c r="Q4" s="4" t="s">
        <v>74</v>
      </c>
    </row>
    <row r="5" customFormat="false" ht="15" hidden="false" customHeight="false" outlineLevel="0" collapsed="false">
      <c r="A5" s="2" t="str">
        <f aca="false">'Franchise Register'!C2</f>
        <v>AGR-001</v>
      </c>
      <c r="B5" s="2" t="str">
        <f aca="false">'Franchise Register'!D2</f>
        <v>Partner 01</v>
      </c>
      <c r="C5" s="12" t="n">
        <f aca="false">'Franchise Register'!H2</f>
        <v>650000000</v>
      </c>
      <c r="D5" s="12" t="n">
        <f aca="false">INDEX('Agreement Details'!$G$2:$G$41,MATCH($A5,'Agreement Details'!$B$2:$B$41,0))</f>
        <v>650000000</v>
      </c>
      <c r="E5" s="2" t="str">
        <f aca="false">INDEX('Incoming Transactions'!$B$2:$B$41,MATCH($A5,'Incoming Transactions'!$I$2:$I$41,0))</f>
        <v>ESM-IN-001</v>
      </c>
      <c r="F5" s="12" t="n">
        <f aca="false">INDEX('Incoming Transactions'!$J$2:$J$41,MATCH($A5,'Incoming Transactions'!$I$2:$I$41,0))</f>
        <v>650000000</v>
      </c>
      <c r="G5" s="2" t="str">
        <f aca="false">INDEX('Incoming Transactions'!$D$2:$D$41,MATCH($A5,'Incoming Transactions'!$I$2:$I$41,0))</f>
        <v>ESM-BX-01</v>
      </c>
      <c r="H5" s="2" t="str">
        <f aca="false">'Franchise Register'!I2</f>
        <v>ESM-BX-01</v>
      </c>
      <c r="I5" s="12" t="n">
        <f aca="false">F5-C5</f>
        <v>0</v>
      </c>
      <c r="J5" s="2" t="str">
        <f aca="false">IF(C5=D5,"OK","DIFF")</f>
        <v>OK</v>
      </c>
      <c r="K5" s="2" t="str">
        <f aca="false">IF(G5=H5,"OK","WRONG ACCOUNT")</f>
        <v>OK</v>
      </c>
      <c r="L5" s="2" t="str">
        <f aca="false">IF(INDEX('Incoming Transactions'!$F$2:$F$41,MATCH($A5,'Incoming Transactions'!$I$2:$I$41,0))=B5,"OK","NAME DIFF")</f>
        <v>OK</v>
      </c>
      <c r="M5" s="14" t="n">
        <f aca="false">DATEVALUE('Franchise Register'!G2)</f>
        <v>44929</v>
      </c>
      <c r="N5" s="14" t="n">
        <f aca="false">DATEVALUE('Franchise Register'!K2)</f>
        <v>44959</v>
      </c>
      <c r="O5" s="14" t="n">
        <f aca="false">DATEVALUE(INDEX('Incoming Transactions'!$C$2:$C$41,MATCH($A5,'Incoming Transactions'!$I$2:$I$41,0)))</f>
        <v>44960</v>
      </c>
      <c r="P5" s="2" t="n">
        <f aca="false">O5-N5</f>
        <v>1</v>
      </c>
      <c r="Q5" s="2" t="str">
        <f aca="false">IF(O5&lt;M5,"Received BEFORE agreement date",IF(O5&gt;N5,"Late vs due date","On time"))</f>
        <v>Late vs due date</v>
      </c>
    </row>
    <row r="6" customFormat="false" ht="15" hidden="false" customHeight="false" outlineLevel="0" collapsed="false">
      <c r="A6" s="2" t="str">
        <f aca="false">'Franchise Register'!C3</f>
        <v>AGR-002</v>
      </c>
      <c r="B6" s="2" t="str">
        <f aca="false">'Franchise Register'!D3</f>
        <v>Partner 02</v>
      </c>
      <c r="C6" s="12" t="n">
        <f aca="false">'Franchise Register'!H3</f>
        <v>720000000</v>
      </c>
      <c r="D6" s="12" t="n">
        <f aca="false">INDEX('Agreement Details'!$G$2:$G$41,MATCH($A6,'Agreement Details'!$B$2:$B$41,0))</f>
        <v>720000000</v>
      </c>
      <c r="E6" s="2" t="str">
        <f aca="false">INDEX('Incoming Transactions'!$B$2:$B$41,MATCH($A6,'Incoming Transactions'!$I$2:$I$41,0))</f>
        <v>ESM-IN-002</v>
      </c>
      <c r="F6" s="12" t="n">
        <f aca="false">INDEX('Incoming Transactions'!$J$2:$J$41,MATCH($A6,'Incoming Transactions'!$I$2:$I$41,0))</f>
        <v>720000000</v>
      </c>
      <c r="G6" s="2" t="str">
        <f aca="false">INDEX('Incoming Transactions'!$D$2:$D$41,MATCH($A6,'Incoming Transactions'!$I$2:$I$41,0))</f>
        <v>ESM-BY-01</v>
      </c>
      <c r="H6" s="2" t="str">
        <f aca="false">'Franchise Register'!I3</f>
        <v>ESM-BY-01</v>
      </c>
      <c r="I6" s="12" t="n">
        <f aca="false">F6-C6</f>
        <v>0</v>
      </c>
      <c r="J6" s="2" t="str">
        <f aca="false">IF(C6=D6,"OK","DIFF")</f>
        <v>OK</v>
      </c>
      <c r="K6" s="2" t="str">
        <f aca="false">IF(G6=H6,"OK","WRONG ACCOUNT")</f>
        <v>OK</v>
      </c>
      <c r="L6" s="2" t="str">
        <f aca="false">IF(INDEX('Incoming Transactions'!$F$2:$F$41,MATCH($A6,'Incoming Transactions'!$I$2:$I$41,0))=B6,"OK","NAME DIFF")</f>
        <v>OK</v>
      </c>
      <c r="M6" s="14" t="n">
        <f aca="false">DATEVALUE('Franchise Register'!G3)</f>
        <v>44963</v>
      </c>
      <c r="N6" s="14" t="n">
        <f aca="false">DATEVALUE('Franchise Register'!K3)</f>
        <v>44993</v>
      </c>
      <c r="O6" s="14" t="n">
        <f aca="false">DATEVALUE(INDEX('Incoming Transactions'!$C$2:$C$41,MATCH($A6,'Incoming Transactions'!$I$2:$I$41,0)))</f>
        <v>44967</v>
      </c>
      <c r="P6" s="2" t="n">
        <f aca="false">O6-N6</f>
        <v>-26</v>
      </c>
      <c r="Q6" s="2" t="str">
        <f aca="false">IF(O6&lt;M6,"Received BEFORE agreement date",IF(O6&gt;N6,"Late vs due date","On time"))</f>
        <v>On time</v>
      </c>
    </row>
    <row r="7" customFormat="false" ht="15" hidden="false" customHeight="false" outlineLevel="0" collapsed="false">
      <c r="A7" s="2" t="str">
        <f aca="false">'Franchise Register'!C4</f>
        <v>AGR-003</v>
      </c>
      <c r="B7" s="2" t="str">
        <f aca="false">'Franchise Register'!D4</f>
        <v>Partner 03</v>
      </c>
      <c r="C7" s="12" t="n">
        <f aca="false">'Franchise Register'!H4</f>
        <v>540000000</v>
      </c>
      <c r="D7" s="12" t="n">
        <f aca="false">INDEX('Agreement Details'!$G$2:$G$41,MATCH($A7,'Agreement Details'!$B$2:$B$41,0))</f>
        <v>540000000</v>
      </c>
      <c r="E7" s="2" t="str">
        <f aca="false">INDEX('Incoming Transactions'!$B$2:$B$41,MATCH($A7,'Incoming Transactions'!$I$2:$I$41,0))</f>
        <v>ESM-IN-003</v>
      </c>
      <c r="F7" s="12" t="n">
        <f aca="false">INDEX('Incoming Transactions'!$J$2:$J$41,MATCH($A7,'Incoming Transactions'!$I$2:$I$41,0))</f>
        <v>540000000</v>
      </c>
      <c r="G7" s="2" t="str">
        <f aca="false">INDEX('Incoming Transactions'!$D$2:$D$41,MATCH($A7,'Incoming Transactions'!$I$2:$I$41,0))</f>
        <v>ESM-BX-01</v>
      </c>
      <c r="H7" s="2" t="str">
        <f aca="false">'Franchise Register'!I4</f>
        <v>ESM-BX-01</v>
      </c>
      <c r="I7" s="12" t="n">
        <f aca="false">F7-C7</f>
        <v>0</v>
      </c>
      <c r="J7" s="2" t="str">
        <f aca="false">IF(C7=D7,"OK","DIFF")</f>
        <v>OK</v>
      </c>
      <c r="K7" s="2" t="str">
        <f aca="false">IF(G7=H7,"OK","WRONG ACCOUNT")</f>
        <v>OK</v>
      </c>
      <c r="L7" s="2" t="str">
        <f aca="false">IF(INDEX('Incoming Transactions'!$F$2:$F$41,MATCH($A7,'Incoming Transactions'!$I$2:$I$41,0))=B7,"OK","NAME DIFF")</f>
        <v>OK</v>
      </c>
      <c r="M7" s="14" t="n">
        <f aca="false">DATEVALUE('Franchise Register'!G4)</f>
        <v>44994</v>
      </c>
      <c r="N7" s="14" t="n">
        <f aca="false">DATEVALUE('Franchise Register'!K4)</f>
        <v>45024</v>
      </c>
      <c r="O7" s="14" t="n">
        <f aca="false">DATEVALUE(INDEX('Incoming Transactions'!$C$2:$C$41,MATCH($A7,'Incoming Transactions'!$I$2:$I$41,0)))</f>
        <v>44987</v>
      </c>
      <c r="P7" s="2" t="n">
        <f aca="false">O7-N7</f>
        <v>-37</v>
      </c>
      <c r="Q7" s="2" t="str">
        <f aca="false">IF(O7&lt;M7,"Received BEFORE agreement date",IF(O7&gt;N7,"Late vs due date","On time"))</f>
        <v>Received BEFORE agreement date</v>
      </c>
    </row>
    <row r="8" customFormat="false" ht="15" hidden="false" customHeight="false" outlineLevel="0" collapsed="false">
      <c r="A8" s="2" t="str">
        <f aca="false">'Franchise Register'!C5</f>
        <v>AGR-004</v>
      </c>
      <c r="B8" s="2" t="str">
        <f aca="false">'Franchise Register'!D5</f>
        <v>Partner 04</v>
      </c>
      <c r="C8" s="12" t="n">
        <f aca="false">'Franchise Register'!H5</f>
        <v>800000000</v>
      </c>
      <c r="D8" s="12" t="n">
        <f aca="false">INDEX('Agreement Details'!$G$2:$G$41,MATCH($A8,'Agreement Details'!$B$2:$B$41,0))</f>
        <v>800000000</v>
      </c>
      <c r="E8" s="2" t="str">
        <f aca="false">INDEX('Incoming Transactions'!$B$2:$B$41,MATCH($A8,'Incoming Transactions'!$I$2:$I$41,0))</f>
        <v>ESM-IN-004</v>
      </c>
      <c r="F8" s="12" t="n">
        <f aca="false">INDEX('Incoming Transactions'!$J$2:$J$41,MATCH($A8,'Incoming Transactions'!$I$2:$I$41,0))</f>
        <v>800000000</v>
      </c>
      <c r="G8" s="2" t="str">
        <f aca="false">INDEX('Incoming Transactions'!$D$2:$D$41,MATCH($A8,'Incoming Transactions'!$I$2:$I$41,0))</f>
        <v>ESM-BY-01</v>
      </c>
      <c r="H8" s="2" t="str">
        <f aca="false">'Franchise Register'!I5</f>
        <v>ESM-BY-01</v>
      </c>
      <c r="I8" s="12" t="n">
        <f aca="false">F8-C8</f>
        <v>0</v>
      </c>
      <c r="J8" s="2" t="str">
        <f aca="false">IF(C8=D8,"OK","DIFF")</f>
        <v>OK</v>
      </c>
      <c r="K8" s="2" t="str">
        <f aca="false">IF(G8=H8,"OK","WRONG ACCOUNT")</f>
        <v>OK</v>
      </c>
      <c r="L8" s="2" t="str">
        <f aca="false">IF(INDEX('Incoming Transactions'!$F$2:$F$41,MATCH($A8,'Incoming Transactions'!$I$2:$I$41,0))=B8,"OK","NAME DIFF")</f>
        <v>OK</v>
      </c>
      <c r="M8" s="14" t="n">
        <f aca="false">DATEVALUE('Franchise Register'!G5)</f>
        <v>45028</v>
      </c>
      <c r="N8" s="14" t="n">
        <f aca="false">DATEVALUE('Franchise Register'!K5)</f>
        <v>45058</v>
      </c>
      <c r="O8" s="14" t="n">
        <f aca="false">DATEVALUE(INDEX('Incoming Transactions'!$C$2:$C$41,MATCH($A8,'Incoming Transactions'!$I$2:$I$41,0)))</f>
        <v>45002</v>
      </c>
      <c r="P8" s="2" t="n">
        <f aca="false">O8-N8</f>
        <v>-56</v>
      </c>
      <c r="Q8" s="2" t="str">
        <f aca="false">IF(O8&lt;M8,"Received BEFORE agreement date",IF(O8&gt;N8,"Late vs due date","On time"))</f>
        <v>Received BEFORE agreement date</v>
      </c>
    </row>
    <row r="9" customFormat="false" ht="15" hidden="false" customHeight="false" outlineLevel="0" collapsed="false">
      <c r="A9" s="2" t="str">
        <f aca="false">'Franchise Register'!C6</f>
        <v>AGR-005</v>
      </c>
      <c r="B9" s="2" t="str">
        <f aca="false">'Franchise Register'!D6</f>
        <v>Partner 05</v>
      </c>
      <c r="C9" s="12" t="n">
        <f aca="false">'Franchise Register'!H6</f>
        <v>610000000</v>
      </c>
      <c r="D9" s="12" t="n">
        <f aca="false">INDEX('Agreement Details'!$G$2:$G$41,MATCH($A9,'Agreement Details'!$B$2:$B$41,0))</f>
        <v>610000000</v>
      </c>
      <c r="E9" s="2" t="str">
        <f aca="false">INDEX('Incoming Transactions'!$B$2:$B$41,MATCH($A9,'Incoming Transactions'!$I$2:$I$41,0))</f>
        <v>ESM-IN-005</v>
      </c>
      <c r="F9" s="12" t="n">
        <f aca="false">INDEX('Incoming Transactions'!$J$2:$J$41,MATCH($A9,'Incoming Transactions'!$I$2:$I$41,0))</f>
        <v>610000000</v>
      </c>
      <c r="G9" s="2" t="str">
        <f aca="false">INDEX('Incoming Transactions'!$D$2:$D$41,MATCH($A9,'Incoming Transactions'!$I$2:$I$41,0))</f>
        <v>ESM-BX-01</v>
      </c>
      <c r="H9" s="2" t="str">
        <f aca="false">'Franchise Register'!I6</f>
        <v>ESM-BX-01</v>
      </c>
      <c r="I9" s="12" t="n">
        <f aca="false">F9-C9</f>
        <v>0</v>
      </c>
      <c r="J9" s="2" t="str">
        <f aca="false">IF(C9=D9,"OK","DIFF")</f>
        <v>OK</v>
      </c>
      <c r="K9" s="2" t="str">
        <f aca="false">IF(G9=H9,"OK","WRONG ACCOUNT")</f>
        <v>OK</v>
      </c>
      <c r="L9" s="2" t="str">
        <f aca="false">IF(INDEX('Incoming Transactions'!$F$2:$F$41,MATCH($A9,'Incoming Transactions'!$I$2:$I$41,0))=B9,"OK","NAME DIFF")</f>
        <v>OK</v>
      </c>
      <c r="M9" s="14" t="n">
        <f aca="false">DATEVALUE('Franchise Register'!G6)</f>
        <v>45061</v>
      </c>
      <c r="N9" s="14" t="n">
        <f aca="false">DATEVALUE('Franchise Register'!K6)</f>
        <v>45091</v>
      </c>
      <c r="O9" s="14" t="n">
        <f aca="false">DATEVALUE(INDEX('Incoming Transactions'!$C$2:$C$41,MATCH($A9,'Incoming Transactions'!$I$2:$I$41,0)))</f>
        <v>45021</v>
      </c>
      <c r="P9" s="2" t="n">
        <f aca="false">O9-N9</f>
        <v>-70</v>
      </c>
      <c r="Q9" s="2" t="str">
        <f aca="false">IF(O9&lt;M9,"Received BEFORE agreement date",IF(O9&gt;N9,"Late vs due date","On time"))</f>
        <v>Received BEFORE agreement date</v>
      </c>
    </row>
    <row r="10" customFormat="false" ht="15" hidden="false" customHeight="false" outlineLevel="0" collapsed="false">
      <c r="A10" s="2" t="str">
        <f aca="false">'Franchise Register'!C7</f>
        <v>AGR-006</v>
      </c>
      <c r="B10" s="2" t="str">
        <f aca="false">'Franchise Register'!D7</f>
        <v>Partner 06</v>
      </c>
      <c r="C10" s="12" t="n">
        <f aca="false">'Franchise Register'!H7</f>
        <v>700000000</v>
      </c>
      <c r="D10" s="12" t="n">
        <f aca="false">INDEX('Agreement Details'!$G$2:$G$41,MATCH($A10,'Agreement Details'!$B$2:$B$41,0))</f>
        <v>700000000</v>
      </c>
      <c r="E10" s="2" t="str">
        <f aca="false">INDEX('Incoming Transactions'!$B$2:$B$41,MATCH($A10,'Incoming Transactions'!$I$2:$I$41,0))</f>
        <v>ESM-IN-006</v>
      </c>
      <c r="F10" s="12" t="n">
        <f aca="false">INDEX('Incoming Transactions'!$J$2:$J$41,MATCH($A10,'Incoming Transactions'!$I$2:$I$41,0))</f>
        <v>700000000</v>
      </c>
      <c r="G10" s="2" t="str">
        <f aca="false">INDEX('Incoming Transactions'!$D$2:$D$41,MATCH($A10,'Incoming Transactions'!$I$2:$I$41,0))</f>
        <v>ESM-BY-01</v>
      </c>
      <c r="H10" s="2" t="str">
        <f aca="false">'Franchise Register'!I7</f>
        <v>ESM-BY-01</v>
      </c>
      <c r="I10" s="12" t="n">
        <f aca="false">F10-C10</f>
        <v>0</v>
      </c>
      <c r="J10" s="2" t="str">
        <f aca="false">IF(C10=D10,"OK","DIFF")</f>
        <v>OK</v>
      </c>
      <c r="K10" s="2" t="str">
        <f aca="false">IF(G10=H10,"OK","WRONG ACCOUNT")</f>
        <v>OK</v>
      </c>
      <c r="L10" s="2" t="str">
        <f aca="false">IF(INDEX('Incoming Transactions'!$F$2:$F$41,MATCH($A10,'Incoming Transactions'!$I$2:$I$41,0))=B10,"OK","NAME DIFF")</f>
        <v>OK</v>
      </c>
      <c r="M10" s="14" t="n">
        <f aca="false">DATEVALUE('Franchise Register'!G7)</f>
        <v>45095</v>
      </c>
      <c r="N10" s="14" t="n">
        <f aca="false">DATEVALUE('Franchise Register'!K7)</f>
        <v>45125</v>
      </c>
      <c r="O10" s="14" t="n">
        <f aca="false">DATEVALUE(INDEX('Incoming Transactions'!$C$2:$C$41,MATCH($A10,'Incoming Transactions'!$I$2:$I$41,0)))</f>
        <v>45035</v>
      </c>
      <c r="P10" s="2" t="n">
        <f aca="false">O10-N10</f>
        <v>-90</v>
      </c>
      <c r="Q10" s="2" t="str">
        <f aca="false">IF(O10&lt;M10,"Received BEFORE agreement date",IF(O10&gt;N10,"Late vs due date","On time"))</f>
        <v>Received BEFORE agreement date</v>
      </c>
    </row>
    <row r="11" customFormat="false" ht="15" hidden="false" customHeight="false" outlineLevel="0" collapsed="false">
      <c r="A11" s="2" t="str">
        <f aca="false">'Franchise Register'!C8</f>
        <v>AGR-007</v>
      </c>
      <c r="B11" s="2" t="str">
        <f aca="false">'Franchise Register'!D8</f>
        <v>Partner 07</v>
      </c>
      <c r="C11" s="12" t="n">
        <f aca="false">'Franchise Register'!H8</f>
        <v>560000000</v>
      </c>
      <c r="D11" s="12" t="n">
        <f aca="false">INDEX('Agreement Details'!$G$2:$G$41,MATCH($A11,'Agreement Details'!$B$2:$B$41,0))</f>
        <v>560000000</v>
      </c>
      <c r="E11" s="2" t="str">
        <f aca="false">INDEX('Incoming Transactions'!$B$2:$B$41,MATCH($A11,'Incoming Transactions'!$I$2:$I$41,0))</f>
        <v>ESM-IN-007</v>
      </c>
      <c r="F11" s="12" t="n">
        <f aca="false">INDEX('Incoming Transactions'!$J$2:$J$41,MATCH($A11,'Incoming Transactions'!$I$2:$I$41,0))</f>
        <v>560000000</v>
      </c>
      <c r="G11" s="2" t="str">
        <f aca="false">INDEX('Incoming Transactions'!$D$2:$D$41,MATCH($A11,'Incoming Transactions'!$I$2:$I$41,0))</f>
        <v>ESM-BX-01</v>
      </c>
      <c r="H11" s="2" t="str">
        <f aca="false">'Franchise Register'!I8</f>
        <v>ESM-BX-01</v>
      </c>
      <c r="I11" s="12" t="n">
        <f aca="false">F11-C11</f>
        <v>0</v>
      </c>
      <c r="J11" s="2" t="str">
        <f aca="false">IF(C11=D11,"OK","DIFF")</f>
        <v>OK</v>
      </c>
      <c r="K11" s="2" t="str">
        <f aca="false">IF(G11=H11,"OK","WRONG ACCOUNT")</f>
        <v>OK</v>
      </c>
      <c r="L11" s="2" t="str">
        <f aca="false">IF(INDEX('Incoming Transactions'!$F$2:$F$41,MATCH($A11,'Incoming Transactions'!$I$2:$I$41,0))=B11,"OK","NAME DIFF")</f>
        <v>OK</v>
      </c>
      <c r="M11" s="14" t="n">
        <f aca="false">DATEVALUE('Franchise Register'!G8)</f>
        <v>45128</v>
      </c>
      <c r="N11" s="14" t="n">
        <f aca="false">DATEVALUE('Franchise Register'!K8)</f>
        <v>45158</v>
      </c>
      <c r="O11" s="14" t="n">
        <f aca="false">DATEVALUE(INDEX('Incoming Transactions'!$C$2:$C$41,MATCH($A11,'Incoming Transactions'!$I$2:$I$41,0)))</f>
        <v>45051</v>
      </c>
      <c r="P11" s="2" t="n">
        <f aca="false">O11-N11</f>
        <v>-107</v>
      </c>
      <c r="Q11" s="2" t="str">
        <f aca="false">IF(O11&lt;M11,"Received BEFORE agreement date",IF(O11&gt;N11,"Late vs due date","On time"))</f>
        <v>Received BEFORE agreement date</v>
      </c>
    </row>
    <row r="12" customFormat="false" ht="15" hidden="false" customHeight="false" outlineLevel="0" collapsed="false">
      <c r="A12" s="2" t="str">
        <f aca="false">'Franchise Register'!C9</f>
        <v>AGR-008</v>
      </c>
      <c r="B12" s="2" t="str">
        <f aca="false">'Franchise Register'!D9</f>
        <v>Partner 08</v>
      </c>
      <c r="C12" s="12" t="n">
        <f aca="false">'Franchise Register'!H9</f>
        <v>750000000</v>
      </c>
      <c r="D12" s="12" t="n">
        <f aca="false">INDEX('Agreement Details'!$G$2:$G$41,MATCH($A12,'Agreement Details'!$B$2:$B$41,0))</f>
        <v>750000000</v>
      </c>
      <c r="E12" s="2" t="str">
        <f aca="false">INDEX('Incoming Transactions'!$B$2:$B$41,MATCH($A12,'Incoming Transactions'!$I$2:$I$41,0))</f>
        <v>ESM-IN-008</v>
      </c>
      <c r="F12" s="12" t="n">
        <f aca="false">INDEX('Incoming Transactions'!$J$2:$J$41,MATCH($A12,'Incoming Transactions'!$I$2:$I$41,0))</f>
        <v>750000000</v>
      </c>
      <c r="G12" s="2" t="str">
        <f aca="false">INDEX('Incoming Transactions'!$D$2:$D$41,MATCH($A12,'Incoming Transactions'!$I$2:$I$41,0))</f>
        <v>ESM-BY-01</v>
      </c>
      <c r="H12" s="2" t="str">
        <f aca="false">'Franchise Register'!I9</f>
        <v>ESM-BY-01</v>
      </c>
      <c r="I12" s="12" t="n">
        <f aca="false">F12-C12</f>
        <v>0</v>
      </c>
      <c r="J12" s="2" t="str">
        <f aca="false">IF(C12=D12,"OK","DIFF")</f>
        <v>OK</v>
      </c>
      <c r="K12" s="2" t="str">
        <f aca="false">IF(G12=H12,"OK","WRONG ACCOUNT")</f>
        <v>OK</v>
      </c>
      <c r="L12" s="2" t="str">
        <f aca="false">IF(INDEX('Incoming Transactions'!$F$2:$F$41,MATCH($A12,'Incoming Transactions'!$I$2:$I$41,0))=B12,"OK","NAME DIFF")</f>
        <v>OK</v>
      </c>
      <c r="M12" s="14" t="n">
        <f aca="false">DATEVALUE('Franchise Register'!G9)</f>
        <v>45162</v>
      </c>
      <c r="N12" s="14" t="n">
        <f aca="false">DATEVALUE('Franchise Register'!K9)</f>
        <v>45192</v>
      </c>
      <c r="O12" s="14" t="n">
        <f aca="false">DATEVALUE(INDEX('Incoming Transactions'!$C$2:$C$41,MATCH($A12,'Incoming Transactions'!$I$2:$I$41,0)))</f>
        <v>45068</v>
      </c>
      <c r="P12" s="2" t="n">
        <f aca="false">O12-N12</f>
        <v>-124</v>
      </c>
      <c r="Q12" s="2" t="str">
        <f aca="false">IF(O12&lt;M12,"Received BEFORE agreement date",IF(O12&gt;N12,"Late vs due date","On time"))</f>
        <v>Received BEFORE agreement date</v>
      </c>
    </row>
    <row r="13" customFormat="false" ht="15" hidden="false" customHeight="false" outlineLevel="0" collapsed="false">
      <c r="A13" s="2" t="str">
        <f aca="false">'Franchise Register'!C10</f>
        <v>AGR-009</v>
      </c>
      <c r="B13" s="2" t="str">
        <f aca="false">'Franchise Register'!D10</f>
        <v>Partner 09</v>
      </c>
      <c r="C13" s="12" t="n">
        <f aca="false">'Franchise Register'!H10</f>
        <v>630000000</v>
      </c>
      <c r="D13" s="12" t="n">
        <f aca="false">INDEX('Agreement Details'!$G$2:$G$41,MATCH($A13,'Agreement Details'!$B$2:$B$41,0))</f>
        <v>630000000</v>
      </c>
      <c r="E13" s="2" t="str">
        <f aca="false">INDEX('Incoming Transactions'!$B$2:$B$41,MATCH($A13,'Incoming Transactions'!$I$2:$I$41,0))</f>
        <v>ESM-IN-009</v>
      </c>
      <c r="F13" s="12" t="n">
        <f aca="false">INDEX('Incoming Transactions'!$J$2:$J$41,MATCH($A13,'Incoming Transactions'!$I$2:$I$41,0))</f>
        <v>630000000</v>
      </c>
      <c r="G13" s="2" t="str">
        <f aca="false">INDEX('Incoming Transactions'!$D$2:$D$41,MATCH($A13,'Incoming Transactions'!$I$2:$I$41,0))</f>
        <v>ESM-BX-01</v>
      </c>
      <c r="H13" s="2" t="str">
        <f aca="false">'Franchise Register'!I10</f>
        <v>ESM-BX-01</v>
      </c>
      <c r="I13" s="12" t="n">
        <f aca="false">F13-C13</f>
        <v>0</v>
      </c>
      <c r="J13" s="2" t="str">
        <f aca="false">IF(C13=D13,"OK","DIFF")</f>
        <v>OK</v>
      </c>
      <c r="K13" s="2" t="str">
        <f aca="false">IF(G13=H13,"OK","WRONG ACCOUNT")</f>
        <v>OK</v>
      </c>
      <c r="L13" s="2" t="str">
        <f aca="false">IF(INDEX('Incoming Transactions'!$F$2:$F$41,MATCH($A13,'Incoming Transactions'!$I$2:$I$41,0))=B13,"OK","NAME DIFF")</f>
        <v>OK</v>
      </c>
      <c r="M13" s="14" t="n">
        <f aca="false">DATEVALUE('Franchise Register'!G10)</f>
        <v>45171</v>
      </c>
      <c r="N13" s="14" t="n">
        <f aca="false">DATEVALUE('Franchise Register'!K10)</f>
        <v>45201</v>
      </c>
      <c r="O13" s="14" t="n">
        <f aca="false">DATEVALUE(INDEX('Incoming Transactions'!$C$2:$C$41,MATCH($A13,'Incoming Transactions'!$I$2:$I$41,0)))</f>
        <v>45085</v>
      </c>
      <c r="P13" s="2" t="n">
        <f aca="false">O13-N13</f>
        <v>-116</v>
      </c>
      <c r="Q13" s="2" t="str">
        <f aca="false">IF(O13&lt;M13,"Received BEFORE agreement date",IF(O13&gt;N13,"Late vs due date","On time"))</f>
        <v>Received BEFORE agreement date</v>
      </c>
    </row>
    <row r="14" customFormat="false" ht="15" hidden="false" customHeight="false" outlineLevel="0" collapsed="false">
      <c r="A14" s="2" t="str">
        <f aca="false">'Franchise Register'!C11</f>
        <v>AGR-010</v>
      </c>
      <c r="B14" s="2" t="str">
        <f aca="false">'Franchise Register'!D11</f>
        <v>Partner 10</v>
      </c>
      <c r="C14" s="12" t="n">
        <f aca="false">'Franchise Register'!H11</f>
        <v>890000000</v>
      </c>
      <c r="D14" s="12" t="n">
        <f aca="false">INDEX('Agreement Details'!$G$2:$G$41,MATCH($A14,'Agreement Details'!$B$2:$B$41,0))</f>
        <v>890000000</v>
      </c>
      <c r="E14" s="2" t="str">
        <f aca="false">INDEX('Incoming Transactions'!$B$2:$B$41,MATCH($A14,'Incoming Transactions'!$I$2:$I$41,0))</f>
        <v>ESM-IN-010</v>
      </c>
      <c r="F14" s="12" t="n">
        <f aca="false">INDEX('Incoming Transactions'!$J$2:$J$41,MATCH($A14,'Incoming Transactions'!$I$2:$I$41,0))</f>
        <v>890000000</v>
      </c>
      <c r="G14" s="2" t="str">
        <f aca="false">INDEX('Incoming Transactions'!$D$2:$D$41,MATCH($A14,'Incoming Transactions'!$I$2:$I$41,0))</f>
        <v>ESM-BY-01</v>
      </c>
      <c r="H14" s="2" t="str">
        <f aca="false">'Franchise Register'!I11</f>
        <v>ESM-BY-01</v>
      </c>
      <c r="I14" s="12" t="n">
        <f aca="false">F14-C14</f>
        <v>0</v>
      </c>
      <c r="J14" s="2" t="str">
        <f aca="false">IF(C14=D14,"OK","DIFF")</f>
        <v>OK</v>
      </c>
      <c r="K14" s="2" t="str">
        <f aca="false">IF(G14=H14,"OK","WRONG ACCOUNT")</f>
        <v>OK</v>
      </c>
      <c r="L14" s="2" t="str">
        <f aca="false">IF(INDEX('Incoming Transactions'!$F$2:$F$41,MATCH($A14,'Incoming Transactions'!$I$2:$I$41,0))=B14,"OK","NAME DIFF")</f>
        <v>OK</v>
      </c>
      <c r="M14" s="14" t="n">
        <f aca="false">DATEVALUE('Franchise Register'!G11)</f>
        <v>45204</v>
      </c>
      <c r="N14" s="14" t="n">
        <f aca="false">DATEVALUE('Franchise Register'!K11)</f>
        <v>45234</v>
      </c>
      <c r="O14" s="14" t="n">
        <f aca="false">DATEVALUE(INDEX('Incoming Transactions'!$C$2:$C$41,MATCH($A14,'Incoming Transactions'!$I$2:$I$41,0)))</f>
        <v>45098</v>
      </c>
      <c r="P14" s="2" t="n">
        <f aca="false">O14-N14</f>
        <v>-136</v>
      </c>
      <c r="Q14" s="2" t="str">
        <f aca="false">IF(O14&lt;M14,"Received BEFORE agreement date",IF(O14&gt;N14,"Late vs due date","On time"))</f>
        <v>Received BEFORE agreement date</v>
      </c>
    </row>
    <row r="15" customFormat="false" ht="15" hidden="false" customHeight="false" outlineLevel="0" collapsed="false">
      <c r="A15" s="2" t="str">
        <f aca="false">'Franchise Register'!C12</f>
        <v>AGR-011</v>
      </c>
      <c r="B15" s="2" t="str">
        <f aca="false">'Franchise Register'!D12</f>
        <v>Partner 11</v>
      </c>
      <c r="C15" s="12" t="n">
        <f aca="false">'Franchise Register'!H12</f>
        <v>700000000</v>
      </c>
      <c r="D15" s="12" t="n">
        <f aca="false">INDEX('Agreement Details'!$G$2:$G$41,MATCH($A15,'Agreement Details'!$B$2:$B$41,0))</f>
        <v>700000000</v>
      </c>
      <c r="E15" s="2" t="str">
        <f aca="false">INDEX('Incoming Transactions'!$B$2:$B$41,MATCH($A15,'Incoming Transactions'!$I$2:$I$41,0))</f>
        <v>ESM-IN-011</v>
      </c>
      <c r="F15" s="12" t="n">
        <f aca="false">INDEX('Incoming Transactions'!$J$2:$J$41,MATCH($A15,'Incoming Transactions'!$I$2:$I$41,0))</f>
        <v>700000000</v>
      </c>
      <c r="G15" s="2" t="str">
        <f aca="false">INDEX('Incoming Transactions'!$D$2:$D$41,MATCH($A15,'Incoming Transactions'!$I$2:$I$41,0))</f>
        <v>ESM-BX-01</v>
      </c>
      <c r="H15" s="2" t="str">
        <f aca="false">'Franchise Register'!I12</f>
        <v>ESM-BX-01</v>
      </c>
      <c r="I15" s="12" t="n">
        <f aca="false">F15-C15</f>
        <v>0</v>
      </c>
      <c r="J15" s="2" t="str">
        <f aca="false">IF(C15=D15,"OK","DIFF")</f>
        <v>OK</v>
      </c>
      <c r="K15" s="2" t="str">
        <f aca="false">IF(G15=H15,"OK","WRONG ACCOUNT")</f>
        <v>OK</v>
      </c>
      <c r="L15" s="2" t="str">
        <f aca="false">IF(INDEX('Incoming Transactions'!$F$2:$F$41,MATCH($A15,'Incoming Transactions'!$I$2:$I$41,0))=B15,"OK","NAME DIFF")</f>
        <v>OK</v>
      </c>
      <c r="M15" s="14" t="n">
        <f aca="false">DATEVALUE('Franchise Register'!G12)</f>
        <v>45238</v>
      </c>
      <c r="N15" s="14" t="n">
        <f aca="false">DATEVALUE('Franchise Register'!K12)</f>
        <v>45268</v>
      </c>
      <c r="O15" s="14" t="n">
        <f aca="false">DATEVALUE(INDEX('Incoming Transactions'!$C$2:$C$41,MATCH($A15,'Incoming Transactions'!$I$2:$I$41,0)))</f>
        <v>45114</v>
      </c>
      <c r="P15" s="2" t="n">
        <f aca="false">O15-N15</f>
        <v>-154</v>
      </c>
      <c r="Q15" s="2" t="str">
        <f aca="false">IF(O15&lt;M15,"Received BEFORE agreement date",IF(O15&gt;N15,"Late vs due date","On time"))</f>
        <v>Received BEFORE agreement date</v>
      </c>
    </row>
    <row r="16" customFormat="false" ht="15" hidden="false" customHeight="false" outlineLevel="0" collapsed="false">
      <c r="A16" s="2" t="str">
        <f aca="false">'Franchise Register'!C13</f>
        <v>AGR-012</v>
      </c>
      <c r="B16" s="2" t="str">
        <f aca="false">'Franchise Register'!D13</f>
        <v>Partner 12</v>
      </c>
      <c r="C16" s="12" t="n">
        <f aca="false">'Franchise Register'!H13</f>
        <v>500000000</v>
      </c>
      <c r="D16" s="12" t="n">
        <f aca="false">INDEX('Agreement Details'!$G$2:$G$41,MATCH($A16,'Agreement Details'!$B$2:$B$41,0))</f>
        <v>500000000</v>
      </c>
      <c r="E16" s="2" t="str">
        <f aca="false">INDEX('Incoming Transactions'!$B$2:$B$41,MATCH($A16,'Incoming Transactions'!$I$2:$I$41,0))</f>
        <v>ESM-IN-012</v>
      </c>
      <c r="F16" s="12" t="n">
        <f aca="false">INDEX('Incoming Transactions'!$J$2:$J$41,MATCH($A16,'Incoming Transactions'!$I$2:$I$41,0))</f>
        <v>500000000</v>
      </c>
      <c r="G16" s="2" t="str">
        <f aca="false">INDEX('Incoming Transactions'!$D$2:$D$41,MATCH($A16,'Incoming Transactions'!$I$2:$I$41,0))</f>
        <v>ESM-BY-01</v>
      </c>
      <c r="H16" s="2" t="str">
        <f aca="false">'Franchise Register'!I13</f>
        <v>ESM-BY-01</v>
      </c>
      <c r="I16" s="12" t="n">
        <f aca="false">F16-C16</f>
        <v>0</v>
      </c>
      <c r="J16" s="2" t="str">
        <f aca="false">IF(C16=D16,"OK","DIFF")</f>
        <v>OK</v>
      </c>
      <c r="K16" s="2" t="str">
        <f aca="false">IF(G16=H16,"OK","WRONG ACCOUNT")</f>
        <v>OK</v>
      </c>
      <c r="L16" s="2" t="str">
        <f aca="false">IF(INDEX('Incoming Transactions'!$F$2:$F$41,MATCH($A16,'Incoming Transactions'!$I$2:$I$41,0))=B16,"OK","NAME DIFF")</f>
        <v>OK</v>
      </c>
      <c r="M16" s="14" t="n">
        <f aca="false">DATEVALUE('Franchise Register'!G13)</f>
        <v>45271</v>
      </c>
      <c r="N16" s="14" t="n">
        <f aca="false">DATEVALUE('Franchise Register'!K13)</f>
        <v>45301</v>
      </c>
      <c r="O16" s="14" t="n">
        <f aca="false">DATEVALUE(INDEX('Incoming Transactions'!$C$2:$C$41,MATCH($A16,'Incoming Transactions'!$I$2:$I$41,0)))</f>
        <v>45128</v>
      </c>
      <c r="P16" s="2" t="n">
        <f aca="false">O16-N16</f>
        <v>-173</v>
      </c>
      <c r="Q16" s="2" t="str">
        <f aca="false">IF(O16&lt;M16,"Received BEFORE agreement date",IF(O16&gt;N16,"Late vs due date","On time"))</f>
        <v>Received BEFORE agreement date</v>
      </c>
    </row>
    <row r="17" customFormat="false" ht="15" hidden="false" customHeight="false" outlineLevel="0" collapsed="false">
      <c r="A17" s="2" t="str">
        <f aca="false">'Franchise Register'!C14</f>
        <v>AGR-013</v>
      </c>
      <c r="B17" s="2" t="str">
        <f aca="false">'Franchise Register'!D14</f>
        <v>Partner 13</v>
      </c>
      <c r="C17" s="12" t="n">
        <f aca="false">'Franchise Register'!H14</f>
        <v>650000000</v>
      </c>
      <c r="D17" s="12" t="n">
        <f aca="false">INDEX('Agreement Details'!$G$2:$G$41,MATCH($A17,'Agreement Details'!$B$2:$B$41,0))</f>
        <v>650000000</v>
      </c>
      <c r="E17" s="2" t="str">
        <f aca="false">INDEX('Incoming Transactions'!$B$2:$B$41,MATCH($A17,'Incoming Transactions'!$I$2:$I$41,0))</f>
        <v>ESM-IN-013</v>
      </c>
      <c r="F17" s="12" t="n">
        <f aca="false">INDEX('Incoming Transactions'!$J$2:$J$41,MATCH($A17,'Incoming Transactions'!$I$2:$I$41,0))</f>
        <v>650000000</v>
      </c>
      <c r="G17" s="2" t="str">
        <f aca="false">INDEX('Incoming Transactions'!$D$2:$D$41,MATCH($A17,'Incoming Transactions'!$I$2:$I$41,0))</f>
        <v>ESM-BX-01</v>
      </c>
      <c r="H17" s="2" t="str">
        <f aca="false">'Franchise Register'!I14</f>
        <v>ESM-BX-01</v>
      </c>
      <c r="I17" s="12" t="n">
        <f aca="false">F17-C17</f>
        <v>0</v>
      </c>
      <c r="J17" s="2" t="str">
        <f aca="false">IF(C17=D17,"OK","DIFF")</f>
        <v>OK</v>
      </c>
      <c r="K17" s="2" t="str">
        <f aca="false">IF(G17=H17,"OK","WRONG ACCOUNT")</f>
        <v>OK</v>
      </c>
      <c r="L17" s="2" t="str">
        <f aca="false">IF(INDEX('Incoming Transactions'!$F$2:$F$41,MATCH($A17,'Incoming Transactions'!$I$2:$I$41,0))=B17,"OK","NAME DIFF")</f>
        <v>OK</v>
      </c>
      <c r="M17" s="14" t="n">
        <f aca="false">DATEVALUE('Franchise Register'!G14)</f>
        <v>44940</v>
      </c>
      <c r="N17" s="14" t="n">
        <f aca="false">DATEVALUE('Franchise Register'!K14)</f>
        <v>44970</v>
      </c>
      <c r="O17" s="14" t="n">
        <f aca="false">DATEVALUE(INDEX('Incoming Transactions'!$C$2:$C$41,MATCH($A17,'Incoming Transactions'!$I$2:$I$41,0)))</f>
        <v>45145</v>
      </c>
      <c r="P17" s="2" t="n">
        <f aca="false">O17-N17</f>
        <v>175</v>
      </c>
      <c r="Q17" s="2" t="str">
        <f aca="false">IF(O17&lt;M17,"Received BEFORE agreement date",IF(O17&gt;N17,"Late vs due date","On time"))</f>
        <v>Late vs due date</v>
      </c>
    </row>
    <row r="18" customFormat="false" ht="15" hidden="false" customHeight="false" outlineLevel="0" collapsed="false">
      <c r="A18" s="2" t="str">
        <f aca="false">'Franchise Register'!C15</f>
        <v>AGR-014</v>
      </c>
      <c r="B18" s="2" t="str">
        <f aca="false">'Franchise Register'!D15</f>
        <v>Partner 14</v>
      </c>
      <c r="C18" s="12" t="n">
        <f aca="false">'Franchise Register'!H15</f>
        <v>600000000</v>
      </c>
      <c r="D18" s="12" t="n">
        <f aca="false">INDEX('Agreement Details'!$G$2:$G$41,MATCH($A18,'Agreement Details'!$B$2:$B$41,0))</f>
        <v>600000000</v>
      </c>
      <c r="E18" s="2" t="str">
        <f aca="false">INDEX('Incoming Transactions'!$B$2:$B$41,MATCH($A18,'Incoming Transactions'!$I$2:$I$41,0))</f>
        <v>ESM-IN-014</v>
      </c>
      <c r="F18" s="12" t="n">
        <f aca="false">INDEX('Incoming Transactions'!$J$2:$J$41,MATCH($A18,'Incoming Transactions'!$I$2:$I$41,0))</f>
        <v>600000000</v>
      </c>
      <c r="G18" s="2" t="str">
        <f aca="false">INDEX('Incoming Transactions'!$D$2:$D$41,MATCH($A18,'Incoming Transactions'!$I$2:$I$41,0))</f>
        <v>ESM-BY-01</v>
      </c>
      <c r="H18" s="2" t="str">
        <f aca="false">'Franchise Register'!I15</f>
        <v>ESM-BY-01</v>
      </c>
      <c r="I18" s="12" t="n">
        <f aca="false">F18-C18</f>
        <v>0</v>
      </c>
      <c r="J18" s="2" t="str">
        <f aca="false">IF(C18=D18,"OK","DIFF")</f>
        <v>OK</v>
      </c>
      <c r="K18" s="2" t="str">
        <f aca="false">IF(G18=H18,"OK","WRONG ACCOUNT")</f>
        <v>OK</v>
      </c>
      <c r="L18" s="2" t="str">
        <f aca="false">IF(INDEX('Incoming Transactions'!$F$2:$F$41,MATCH($A18,'Incoming Transactions'!$I$2:$I$41,0))=B18,"OK","NAME DIFF")</f>
        <v>OK</v>
      </c>
      <c r="M18" s="14" t="n">
        <f aca="false">DATEVALUE('Franchise Register'!G15)</f>
        <v>44974</v>
      </c>
      <c r="N18" s="14" t="n">
        <f aca="false">DATEVALUE('Franchise Register'!K15)</f>
        <v>45004</v>
      </c>
      <c r="O18" s="14" t="n">
        <f aca="false">DATEVALUE(INDEX('Incoming Transactions'!$C$2:$C$41,MATCH($A18,'Incoming Transactions'!$I$2:$I$41,0)))</f>
        <v>45162</v>
      </c>
      <c r="P18" s="2" t="n">
        <f aca="false">O18-N18</f>
        <v>158</v>
      </c>
      <c r="Q18" s="2" t="str">
        <f aca="false">IF(O18&lt;M18,"Received BEFORE agreement date",IF(O18&gt;N18,"Late vs due date","On time"))</f>
        <v>Late vs due date</v>
      </c>
    </row>
    <row r="19" customFormat="false" ht="15" hidden="false" customHeight="false" outlineLevel="0" collapsed="false">
      <c r="A19" s="2" t="str">
        <f aca="false">'Franchise Register'!C16</f>
        <v>AGR-015</v>
      </c>
      <c r="B19" s="2" t="str">
        <f aca="false">'Franchise Register'!D16</f>
        <v>Partner 15</v>
      </c>
      <c r="C19" s="12" t="n">
        <f aca="false">'Franchise Register'!H16</f>
        <v>800000000</v>
      </c>
      <c r="D19" s="12" t="n">
        <f aca="false">INDEX('Agreement Details'!$G$2:$G$41,MATCH($A19,'Agreement Details'!$B$2:$B$41,0))</f>
        <v>800000000</v>
      </c>
      <c r="E19" s="2" t="str">
        <f aca="false">INDEX('Incoming Transactions'!$B$2:$B$41,MATCH($A19,'Incoming Transactions'!$I$2:$I$41,0))</f>
        <v>ESM-IN-015</v>
      </c>
      <c r="F19" s="12" t="n">
        <f aca="false">INDEX('Incoming Transactions'!$J$2:$J$41,MATCH($A19,'Incoming Transactions'!$I$2:$I$41,0))</f>
        <v>800000000</v>
      </c>
      <c r="G19" s="2" t="str">
        <f aca="false">INDEX('Incoming Transactions'!$D$2:$D$41,MATCH($A19,'Incoming Transactions'!$I$2:$I$41,0))</f>
        <v>ESM-BX-01</v>
      </c>
      <c r="H19" s="2" t="str">
        <f aca="false">'Franchise Register'!I16</f>
        <v>ESM-BX-01</v>
      </c>
      <c r="I19" s="12" t="n">
        <f aca="false">F19-C19</f>
        <v>0</v>
      </c>
      <c r="J19" s="2" t="str">
        <f aca="false">IF(C19=D19,"OK","DIFF")</f>
        <v>OK</v>
      </c>
      <c r="K19" s="2" t="str">
        <f aca="false">IF(G19=H19,"OK","WRONG ACCOUNT")</f>
        <v>OK</v>
      </c>
      <c r="L19" s="2" t="str">
        <f aca="false">IF(INDEX('Incoming Transactions'!$F$2:$F$41,MATCH($A19,'Incoming Transactions'!$I$2:$I$41,0))=B19,"OK","NAME DIFF")</f>
        <v>OK</v>
      </c>
      <c r="M19" s="14" t="n">
        <f aca="false">DATEVALUE('Franchise Register'!G16)</f>
        <v>45005</v>
      </c>
      <c r="N19" s="14" t="n">
        <f aca="false">DATEVALUE('Franchise Register'!K16)</f>
        <v>45035</v>
      </c>
      <c r="O19" s="14" t="n">
        <f aca="false">DATEVALUE(INDEX('Incoming Transactions'!$C$2:$C$41,MATCH($A19,'Incoming Transactions'!$I$2:$I$41,0)))</f>
        <v>45177</v>
      </c>
      <c r="P19" s="2" t="n">
        <f aca="false">O19-N19</f>
        <v>142</v>
      </c>
      <c r="Q19" s="2" t="str">
        <f aca="false">IF(O19&lt;M19,"Received BEFORE agreement date",IF(O19&gt;N19,"Late vs due date","On time"))</f>
        <v>Late vs due date</v>
      </c>
    </row>
    <row r="20" customFormat="false" ht="15" hidden="false" customHeight="false" outlineLevel="0" collapsed="false">
      <c r="A20" s="2" t="str">
        <f aca="false">'Franchise Register'!C17</f>
        <v>AGR-016</v>
      </c>
      <c r="B20" s="2" t="str">
        <f aca="false">'Franchise Register'!D17</f>
        <v>Partner 16</v>
      </c>
      <c r="C20" s="12" t="n">
        <f aca="false">'Franchise Register'!H17</f>
        <v>520000000</v>
      </c>
      <c r="D20" s="12" t="n">
        <f aca="false">INDEX('Agreement Details'!$G$2:$G$41,MATCH($A20,'Agreement Details'!$B$2:$B$41,0))</f>
        <v>520000000</v>
      </c>
      <c r="E20" s="2" t="str">
        <f aca="false">INDEX('Incoming Transactions'!$B$2:$B$41,MATCH($A20,'Incoming Transactions'!$I$2:$I$41,0))</f>
        <v>ESM-IN-016</v>
      </c>
      <c r="F20" s="12" t="n">
        <f aca="false">INDEX('Incoming Transactions'!$J$2:$J$41,MATCH($A20,'Incoming Transactions'!$I$2:$I$41,0))</f>
        <v>520000000</v>
      </c>
      <c r="G20" s="2" t="str">
        <f aca="false">INDEX('Incoming Transactions'!$D$2:$D$41,MATCH($A20,'Incoming Transactions'!$I$2:$I$41,0))</f>
        <v>ESM-BY-01</v>
      </c>
      <c r="H20" s="2" t="str">
        <f aca="false">'Franchise Register'!I17</f>
        <v>ESM-BY-01</v>
      </c>
      <c r="I20" s="12" t="n">
        <f aca="false">F20-C20</f>
        <v>0</v>
      </c>
      <c r="J20" s="2" t="str">
        <f aca="false">IF(C20=D20,"OK","DIFF")</f>
        <v>OK</v>
      </c>
      <c r="K20" s="2" t="str">
        <f aca="false">IF(G20=H20,"OK","WRONG ACCOUNT")</f>
        <v>OK</v>
      </c>
      <c r="L20" s="2" t="str">
        <f aca="false">IF(INDEX('Incoming Transactions'!$F$2:$F$41,MATCH($A20,'Incoming Transactions'!$I$2:$I$41,0))=B20,"OK","NAME DIFF")</f>
        <v>OK</v>
      </c>
      <c r="M20" s="14" t="n">
        <f aca="false">DATEVALUE('Franchise Register'!G17)</f>
        <v>45039</v>
      </c>
      <c r="N20" s="14" t="n">
        <f aca="false">DATEVALUE('Franchise Register'!K17)</f>
        <v>45069</v>
      </c>
      <c r="O20" s="14" t="n">
        <f aca="false">DATEVALUE(INDEX('Incoming Transactions'!$C$2:$C$41,MATCH($A20,'Incoming Transactions'!$I$2:$I$41,0)))</f>
        <v>45194</v>
      </c>
      <c r="P20" s="2" t="n">
        <f aca="false">O20-N20</f>
        <v>125</v>
      </c>
      <c r="Q20" s="2" t="str">
        <f aca="false">IF(O20&lt;M20,"Received BEFORE agreement date",IF(O20&gt;N20,"Late vs due date","On time"))</f>
        <v>Late vs due date</v>
      </c>
    </row>
    <row r="21" customFormat="false" ht="15" hidden="false" customHeight="false" outlineLevel="0" collapsed="false">
      <c r="A21" s="2" t="str">
        <f aca="false">'Franchise Register'!C18</f>
        <v>AGR-017</v>
      </c>
      <c r="B21" s="2" t="str">
        <f aca="false">'Franchise Register'!D18</f>
        <v>Partner 17</v>
      </c>
      <c r="C21" s="12" t="n">
        <f aca="false">'Franchise Register'!H18</f>
        <v>750000000</v>
      </c>
      <c r="D21" s="12" t="n">
        <f aca="false">INDEX('Agreement Details'!$G$2:$G$41,MATCH($A21,'Agreement Details'!$B$2:$B$41,0))</f>
        <v>750000000</v>
      </c>
      <c r="E21" s="2" t="str">
        <f aca="false">INDEX('Incoming Transactions'!$B$2:$B$41,MATCH($A21,'Incoming Transactions'!$I$2:$I$41,0))</f>
        <v>ESM-IN-017</v>
      </c>
      <c r="F21" s="12" t="n">
        <f aca="false">INDEX('Incoming Transactions'!$J$2:$J$41,MATCH($A21,'Incoming Transactions'!$I$2:$I$41,0))</f>
        <v>750000000</v>
      </c>
      <c r="G21" s="2" t="str">
        <f aca="false">INDEX('Incoming Transactions'!$D$2:$D$41,MATCH($A21,'Incoming Transactions'!$I$2:$I$41,0))</f>
        <v>ESM-BX-01</v>
      </c>
      <c r="H21" s="2" t="str">
        <f aca="false">'Franchise Register'!I18</f>
        <v>ESM-BX-01</v>
      </c>
      <c r="I21" s="12" t="n">
        <f aca="false">F21-C21</f>
        <v>0</v>
      </c>
      <c r="J21" s="2" t="str">
        <f aca="false">IF(C21=D21,"OK","DIFF")</f>
        <v>OK</v>
      </c>
      <c r="K21" s="2" t="str">
        <f aca="false">IF(G21=H21,"OK","WRONG ACCOUNT")</f>
        <v>OK</v>
      </c>
      <c r="L21" s="2" t="str">
        <f aca="false">IF(INDEX('Incoming Transactions'!$F$2:$F$41,MATCH($A21,'Incoming Transactions'!$I$2:$I$41,0))=B21,"OK","NAME DIFF")</f>
        <v>OK</v>
      </c>
      <c r="M21" s="14" t="n">
        <f aca="false">DATEVALUE('Franchise Register'!G18)</f>
        <v>45047</v>
      </c>
      <c r="N21" s="14" t="n">
        <f aca="false">DATEVALUE('Franchise Register'!K18)</f>
        <v>45077</v>
      </c>
      <c r="O21" s="14" t="n">
        <f aca="false">DATEVALUE(INDEX('Incoming Transactions'!$C$2:$C$41,MATCH($A21,'Incoming Transactions'!$I$2:$I$41,0)))</f>
        <v>45211</v>
      </c>
      <c r="P21" s="2" t="n">
        <f aca="false">O21-N21</f>
        <v>134</v>
      </c>
      <c r="Q21" s="2" t="str">
        <f aca="false">IF(O21&lt;M21,"Received BEFORE agreement date",IF(O21&gt;N21,"Late vs due date","On time"))</f>
        <v>Late vs due date</v>
      </c>
    </row>
    <row r="22" customFormat="false" ht="15" hidden="false" customHeight="false" outlineLevel="0" collapsed="false">
      <c r="A22" s="2" t="str">
        <f aca="false">'Franchise Register'!C19</f>
        <v>AGR-018</v>
      </c>
      <c r="B22" s="2" t="str">
        <f aca="false">'Franchise Register'!D19</f>
        <v>Partner 18</v>
      </c>
      <c r="C22" s="12" t="n">
        <f aca="false">'Franchise Register'!H19</f>
        <v>650000000</v>
      </c>
      <c r="D22" s="12" t="n">
        <f aca="false">INDEX('Agreement Details'!$G$2:$G$41,MATCH($A22,'Agreement Details'!$B$2:$B$41,0))</f>
        <v>650000000</v>
      </c>
      <c r="E22" s="2" t="str">
        <f aca="false">INDEX('Incoming Transactions'!$B$2:$B$41,MATCH($A22,'Incoming Transactions'!$I$2:$I$41,0))</f>
        <v>ESM-IN-018</v>
      </c>
      <c r="F22" s="12" t="n">
        <f aca="false">INDEX('Incoming Transactions'!$J$2:$J$41,MATCH($A22,'Incoming Transactions'!$I$2:$I$41,0))</f>
        <v>650000000</v>
      </c>
      <c r="G22" s="2" t="str">
        <f aca="false">INDEX('Incoming Transactions'!$D$2:$D$41,MATCH($A22,'Incoming Transactions'!$I$2:$I$41,0))</f>
        <v>ESM-BY-01</v>
      </c>
      <c r="H22" s="2" t="str">
        <f aca="false">'Franchise Register'!I19</f>
        <v>ESM-BY-01</v>
      </c>
      <c r="I22" s="12" t="n">
        <f aca="false">F22-C22</f>
        <v>0</v>
      </c>
      <c r="J22" s="2" t="str">
        <f aca="false">IF(C22=D22,"OK","DIFF")</f>
        <v>OK</v>
      </c>
      <c r="K22" s="2" t="str">
        <f aca="false">IF(G22=H22,"OK","WRONG ACCOUNT")</f>
        <v>OK</v>
      </c>
      <c r="L22" s="2" t="str">
        <f aca="false">IF(INDEX('Incoming Transactions'!$F$2:$F$41,MATCH($A22,'Incoming Transactions'!$I$2:$I$41,0))=B22,"OK","NAME DIFF")</f>
        <v>OK</v>
      </c>
      <c r="M22" s="14" t="n">
        <f aca="false">DATEVALUE('Franchise Register'!G19)</f>
        <v>45081</v>
      </c>
      <c r="N22" s="14" t="n">
        <f aca="false">DATEVALUE('Franchise Register'!K19)</f>
        <v>45111</v>
      </c>
      <c r="O22" s="14" t="n">
        <f aca="false">DATEVALUE(INDEX('Incoming Transactions'!$C$2:$C$41,MATCH($A22,'Incoming Transactions'!$I$2:$I$41,0)))</f>
        <v>45226</v>
      </c>
      <c r="P22" s="2" t="n">
        <f aca="false">O22-N22</f>
        <v>115</v>
      </c>
      <c r="Q22" s="2" t="str">
        <f aca="false">IF(O22&lt;M22,"Received BEFORE agreement date",IF(O22&gt;N22,"Late vs due date","On time"))</f>
        <v>Late vs due date</v>
      </c>
    </row>
    <row r="23" customFormat="false" ht="15" hidden="false" customHeight="false" outlineLevel="0" collapsed="false">
      <c r="A23" s="2" t="str">
        <f aca="false">'Franchise Register'!C20</f>
        <v>AGR-019</v>
      </c>
      <c r="B23" s="2" t="str">
        <f aca="false">'Franchise Register'!D20</f>
        <v>Partner 19</v>
      </c>
      <c r="C23" s="12" t="n">
        <f aca="false">'Franchise Register'!H20</f>
        <v>600000000</v>
      </c>
      <c r="D23" s="12" t="n">
        <f aca="false">INDEX('Agreement Details'!$G$2:$G$41,MATCH($A23,'Agreement Details'!$B$2:$B$41,0))</f>
        <v>600000000</v>
      </c>
      <c r="E23" s="2" t="str">
        <f aca="false">INDEX('Incoming Transactions'!$B$2:$B$41,MATCH($A23,'Incoming Transactions'!$I$2:$I$41,0))</f>
        <v>ESM-IN-019</v>
      </c>
      <c r="F23" s="12" t="n">
        <f aca="false">INDEX('Incoming Transactions'!$J$2:$J$41,MATCH($A23,'Incoming Transactions'!$I$2:$I$41,0))</f>
        <v>600000000</v>
      </c>
      <c r="G23" s="2" t="str">
        <f aca="false">INDEX('Incoming Transactions'!$D$2:$D$41,MATCH($A23,'Incoming Transactions'!$I$2:$I$41,0))</f>
        <v>ESM-BX-01</v>
      </c>
      <c r="H23" s="2" t="str">
        <f aca="false">'Franchise Register'!I20</f>
        <v>ESM-BX-01</v>
      </c>
      <c r="I23" s="12" t="n">
        <f aca="false">F23-C23</f>
        <v>0</v>
      </c>
      <c r="J23" s="2" t="str">
        <f aca="false">IF(C23=D23,"OK","DIFF")</f>
        <v>OK</v>
      </c>
      <c r="K23" s="2" t="str">
        <f aca="false">IF(G23=H23,"OK","WRONG ACCOUNT")</f>
        <v>OK</v>
      </c>
      <c r="L23" s="2" t="str">
        <f aca="false">IF(INDEX('Incoming Transactions'!$F$2:$F$41,MATCH($A23,'Incoming Transactions'!$I$2:$I$41,0))=B23,"OK","NAME DIFF")</f>
        <v>OK</v>
      </c>
      <c r="M23" s="14" t="n">
        <f aca="false">DATEVALUE('Franchise Register'!G20)</f>
        <v>45114</v>
      </c>
      <c r="N23" s="14" t="n">
        <f aca="false">DATEVALUE('Franchise Register'!K20)</f>
        <v>45144</v>
      </c>
      <c r="O23" s="14" t="n">
        <f aca="false">DATEVALUE(INDEX('Incoming Transactions'!$C$2:$C$41,MATCH($A23,'Incoming Transactions'!$I$2:$I$41,0)))</f>
        <v>45239</v>
      </c>
      <c r="P23" s="2" t="n">
        <f aca="false">O23-N23</f>
        <v>95</v>
      </c>
      <c r="Q23" s="2" t="str">
        <f aca="false">IF(O23&lt;M23,"Received BEFORE agreement date",IF(O23&gt;N23,"Late vs due date","On time"))</f>
        <v>Late vs due date</v>
      </c>
    </row>
    <row r="24" customFormat="false" ht="15" hidden="false" customHeight="false" outlineLevel="0" collapsed="false">
      <c r="A24" s="2" t="str">
        <f aca="false">'Franchise Register'!C21</f>
        <v>AGR-020</v>
      </c>
      <c r="B24" s="2" t="str">
        <f aca="false">'Franchise Register'!D21</f>
        <v>Partner 20</v>
      </c>
      <c r="C24" s="12" t="n">
        <f aca="false">'Franchise Register'!H21</f>
        <v>540000000</v>
      </c>
      <c r="D24" s="12" t="n">
        <f aca="false">INDEX('Agreement Details'!$G$2:$G$41,MATCH($A24,'Agreement Details'!$B$2:$B$41,0))</f>
        <v>540000000</v>
      </c>
      <c r="E24" s="2" t="str">
        <f aca="false">INDEX('Incoming Transactions'!$B$2:$B$41,MATCH($A24,'Incoming Transactions'!$I$2:$I$41,0))</f>
        <v>ESM-IN-020</v>
      </c>
      <c r="F24" s="12" t="n">
        <f aca="false">INDEX('Incoming Transactions'!$J$2:$J$41,MATCH($A24,'Incoming Transactions'!$I$2:$I$41,0))</f>
        <v>540000000</v>
      </c>
      <c r="G24" s="2" t="str">
        <f aca="false">INDEX('Incoming Transactions'!$D$2:$D$41,MATCH($A24,'Incoming Transactions'!$I$2:$I$41,0))</f>
        <v>ESM-BY-01</v>
      </c>
      <c r="H24" s="2" t="str">
        <f aca="false">'Franchise Register'!I21</f>
        <v>ESM-BY-01</v>
      </c>
      <c r="I24" s="12" t="n">
        <f aca="false">F24-C24</f>
        <v>0</v>
      </c>
      <c r="J24" s="2" t="str">
        <f aca="false">IF(C24=D24,"OK","DIFF")</f>
        <v>OK</v>
      </c>
      <c r="K24" s="2" t="str">
        <f aca="false">IF(G24=H24,"OK","WRONG ACCOUNT")</f>
        <v>OK</v>
      </c>
      <c r="L24" s="2" t="str">
        <f aca="false">IF(INDEX('Incoming Transactions'!$F$2:$F$41,MATCH($A24,'Incoming Transactions'!$I$2:$I$41,0))=B24,"OK","NAME DIFF")</f>
        <v>OK</v>
      </c>
      <c r="M24" s="14" t="n">
        <f aca="false">DATEVALUE('Franchise Register'!G21)</f>
        <v>45148</v>
      </c>
      <c r="N24" s="14" t="n">
        <f aca="false">DATEVALUE('Franchise Register'!K21)</f>
        <v>45178</v>
      </c>
      <c r="O24" s="14" t="n">
        <f aca="false">DATEVALUE(INDEX('Incoming Transactions'!$C$2:$C$41,MATCH($A24,'Incoming Transactions'!$I$2:$I$41,0)))</f>
        <v>45254</v>
      </c>
      <c r="P24" s="2" t="n">
        <f aca="false">O24-N24</f>
        <v>76</v>
      </c>
      <c r="Q24" s="2" t="str">
        <f aca="false">IF(O24&lt;M24,"Received BEFORE agreement date",IF(O24&gt;N24,"Late vs due date","On time"))</f>
        <v>Late vs due date</v>
      </c>
    </row>
    <row r="25" customFormat="false" ht="15" hidden="false" customHeight="false" outlineLevel="0" collapsed="false">
      <c r="A25" s="2" t="str">
        <f aca="false">'Franchise Register'!C22</f>
        <v>AGR-021</v>
      </c>
      <c r="B25" s="2" t="str">
        <f aca="false">'Franchise Register'!D22</f>
        <v>Partner 21</v>
      </c>
      <c r="C25" s="12" t="n">
        <f aca="false">'Franchise Register'!H22</f>
        <v>720000000</v>
      </c>
      <c r="D25" s="12" t="n">
        <f aca="false">INDEX('Agreement Details'!$G$2:$G$41,MATCH($A25,'Agreement Details'!$B$2:$B$41,0))</f>
        <v>720000000</v>
      </c>
      <c r="E25" s="2" t="str">
        <f aca="false">INDEX('Incoming Transactions'!$B$2:$B$41,MATCH($A25,'Incoming Transactions'!$I$2:$I$41,0))</f>
        <v>ESM-IN-021</v>
      </c>
      <c r="F25" s="12" t="n">
        <f aca="false">INDEX('Incoming Transactions'!$J$2:$J$41,MATCH($A25,'Incoming Transactions'!$I$2:$I$41,0))</f>
        <v>720000000</v>
      </c>
      <c r="G25" s="2" t="str">
        <f aca="false">INDEX('Incoming Transactions'!$D$2:$D$41,MATCH($A25,'Incoming Transactions'!$I$2:$I$41,0))</f>
        <v>ESM-BX-01</v>
      </c>
      <c r="H25" s="2" t="str">
        <f aca="false">'Franchise Register'!I22</f>
        <v>ESM-BX-01</v>
      </c>
      <c r="I25" s="12" t="n">
        <f aca="false">F25-C25</f>
        <v>0</v>
      </c>
      <c r="J25" s="2" t="str">
        <f aca="false">IF(C25=D25,"OK","DIFF")</f>
        <v>OK</v>
      </c>
      <c r="K25" s="2" t="str">
        <f aca="false">IF(G25=H25,"OK","WRONG ACCOUNT")</f>
        <v>OK</v>
      </c>
      <c r="L25" s="2" t="str">
        <f aca="false">IF(INDEX('Incoming Transactions'!$F$2:$F$41,MATCH($A25,'Incoming Transactions'!$I$2:$I$41,0))=B25,"OK","NAME DIFF")</f>
        <v>OK</v>
      </c>
      <c r="M25" s="14" t="n">
        <f aca="false">DATEVALUE('Franchise Register'!G22)</f>
        <v>45548</v>
      </c>
      <c r="N25" s="14" t="n">
        <f aca="false">DATEVALUE('Franchise Register'!K22)</f>
        <v>45578</v>
      </c>
      <c r="O25" s="14" t="n">
        <f aca="false">DATEVALUE(INDEX('Incoming Transactions'!$C$2:$C$41,MATCH($A25,'Incoming Transactions'!$I$2:$I$41,0)))</f>
        <v>45301</v>
      </c>
      <c r="P25" s="2" t="n">
        <f aca="false">O25-N25</f>
        <v>-277</v>
      </c>
      <c r="Q25" s="2" t="str">
        <f aca="false">IF(O25&lt;M25,"Received BEFORE agreement date",IF(O25&gt;N25,"Late vs due date","On time"))</f>
        <v>Received BEFORE agreement date</v>
      </c>
    </row>
    <row r="26" customFormat="false" ht="15" hidden="false" customHeight="false" outlineLevel="0" collapsed="false">
      <c r="A26" s="2" t="str">
        <f aca="false">'Franchise Register'!C23</f>
        <v>AGR-022</v>
      </c>
      <c r="B26" s="2" t="str">
        <f aca="false">'Franchise Register'!D23</f>
        <v>Partner 22</v>
      </c>
      <c r="C26" s="12" t="n">
        <f aca="false">'Franchise Register'!H23</f>
        <v>550000000</v>
      </c>
      <c r="D26" s="12" t="n">
        <f aca="false">INDEX('Agreement Details'!$G$2:$G$41,MATCH($A26,'Agreement Details'!$B$2:$B$41,0))</f>
        <v>550000000</v>
      </c>
      <c r="E26" s="2" t="str">
        <f aca="false">INDEX('Incoming Transactions'!$B$2:$B$41,MATCH($A26,'Incoming Transactions'!$I$2:$I$41,0))</f>
        <v>ESM-IN-022</v>
      </c>
      <c r="F26" s="12" t="n">
        <f aca="false">INDEX('Incoming Transactions'!$J$2:$J$41,MATCH($A26,'Incoming Transactions'!$I$2:$I$41,0))</f>
        <v>550000000</v>
      </c>
      <c r="G26" s="2" t="str">
        <f aca="false">INDEX('Incoming Transactions'!$D$2:$D$41,MATCH($A26,'Incoming Transactions'!$I$2:$I$41,0))</f>
        <v>ESM-BY-01</v>
      </c>
      <c r="H26" s="2" t="str">
        <f aca="false">'Franchise Register'!I23</f>
        <v>ESM-BY-01</v>
      </c>
      <c r="I26" s="12" t="n">
        <f aca="false">F26-C26</f>
        <v>0</v>
      </c>
      <c r="J26" s="2" t="str">
        <f aca="false">IF(C26=D26,"OK","DIFF")</f>
        <v>OK</v>
      </c>
      <c r="K26" s="2" t="str">
        <f aca="false">IF(G26=H26,"OK","WRONG ACCOUNT")</f>
        <v>OK</v>
      </c>
      <c r="L26" s="2" t="str">
        <f aca="false">IF(INDEX('Incoming Transactions'!$F$2:$F$41,MATCH($A26,'Incoming Transactions'!$I$2:$I$41,0))=B26,"OK","NAME DIFF")</f>
        <v>OK</v>
      </c>
      <c r="M26" s="14" t="n">
        <f aca="false">DATEVALUE('Franchise Register'!G23)</f>
        <v>45581</v>
      </c>
      <c r="N26" s="14" t="n">
        <f aca="false">DATEVALUE('Franchise Register'!K23)</f>
        <v>45611</v>
      </c>
      <c r="O26" s="14" t="n">
        <f aca="false">DATEVALUE(INDEX('Incoming Transactions'!$C$2:$C$41,MATCH($A26,'Incoming Transactions'!$I$2:$I$41,0)))</f>
        <v>45316</v>
      </c>
      <c r="P26" s="2" t="n">
        <f aca="false">O26-N26</f>
        <v>-295</v>
      </c>
      <c r="Q26" s="2" t="str">
        <f aca="false">IF(O26&lt;M26,"Received BEFORE agreement date",IF(O26&gt;N26,"Late vs due date","On time"))</f>
        <v>Received BEFORE agreement date</v>
      </c>
    </row>
    <row r="27" customFormat="false" ht="15" hidden="false" customHeight="false" outlineLevel="0" collapsed="false">
      <c r="A27" s="2" t="str">
        <f aca="false">'Franchise Register'!C24</f>
        <v>AGR-023</v>
      </c>
      <c r="B27" s="2" t="str">
        <f aca="false">'Franchise Register'!D24</f>
        <v>Partner 23</v>
      </c>
      <c r="C27" s="12" t="n">
        <f aca="false">'Franchise Register'!H24</f>
        <v>680000000</v>
      </c>
      <c r="D27" s="12" t="n">
        <f aca="false">INDEX('Agreement Details'!$G$2:$G$41,MATCH($A27,'Agreement Details'!$B$2:$B$41,0))</f>
        <v>680000000</v>
      </c>
      <c r="E27" s="2" t="str">
        <f aca="false">INDEX('Incoming Transactions'!$B$2:$B$41,MATCH($A27,'Incoming Transactions'!$I$2:$I$41,0))</f>
        <v>ESM-IN-023</v>
      </c>
      <c r="F27" s="12" t="n">
        <f aca="false">INDEX('Incoming Transactions'!$J$2:$J$41,MATCH($A27,'Incoming Transactions'!$I$2:$I$41,0))</f>
        <v>680000000</v>
      </c>
      <c r="G27" s="2" t="str">
        <f aca="false">INDEX('Incoming Transactions'!$D$2:$D$41,MATCH($A27,'Incoming Transactions'!$I$2:$I$41,0))</f>
        <v>ESM-BX-01</v>
      </c>
      <c r="H27" s="2" t="str">
        <f aca="false">'Franchise Register'!I24</f>
        <v>ESM-BX-01</v>
      </c>
      <c r="I27" s="12" t="n">
        <f aca="false">F27-C27</f>
        <v>0</v>
      </c>
      <c r="J27" s="2" t="str">
        <f aca="false">IF(C27=D27,"OK","DIFF")</f>
        <v>OK</v>
      </c>
      <c r="K27" s="2" t="str">
        <f aca="false">IF(G27=H27,"OK","WRONG ACCOUNT")</f>
        <v>OK</v>
      </c>
      <c r="L27" s="2" t="str">
        <f aca="false">IF(INDEX('Incoming Transactions'!$F$2:$F$41,MATCH($A27,'Incoming Transactions'!$I$2:$I$41,0))=B27,"OK","NAME DIFF")</f>
        <v>OK</v>
      </c>
      <c r="M27" s="14" t="n">
        <f aca="false">DATEVALUE('Franchise Register'!G24)</f>
        <v>45615</v>
      </c>
      <c r="N27" s="14" t="n">
        <f aca="false">DATEVALUE('Franchise Register'!K24)</f>
        <v>45645</v>
      </c>
      <c r="O27" s="14" t="n">
        <f aca="false">DATEVALUE(INDEX('Incoming Transactions'!$C$2:$C$41,MATCH($A27,'Incoming Transactions'!$I$2:$I$41,0)))</f>
        <v>45334</v>
      </c>
      <c r="P27" s="2" t="n">
        <f aca="false">O27-N27</f>
        <v>-311</v>
      </c>
      <c r="Q27" s="2" t="str">
        <f aca="false">IF(O27&lt;M27,"Received BEFORE agreement date",IF(O27&gt;N27,"Late vs due date","On time"))</f>
        <v>Received BEFORE agreement date</v>
      </c>
    </row>
    <row r="28" customFormat="false" ht="15" hidden="false" customHeight="false" outlineLevel="0" collapsed="false">
      <c r="A28" s="2" t="str">
        <f aca="false">'Franchise Register'!C25</f>
        <v>AGR-024</v>
      </c>
      <c r="B28" s="2" t="str">
        <f aca="false">'Franchise Register'!D25</f>
        <v>Partner 24</v>
      </c>
      <c r="C28" s="12" t="n">
        <f aca="false">'Franchise Register'!H25</f>
        <v>560000000</v>
      </c>
      <c r="D28" s="12" t="n">
        <f aca="false">INDEX('Agreement Details'!$G$2:$G$41,MATCH($A28,'Agreement Details'!$B$2:$B$41,0))</f>
        <v>560000000</v>
      </c>
      <c r="E28" s="2" t="str">
        <f aca="false">INDEX('Incoming Transactions'!$B$2:$B$41,MATCH($A28,'Incoming Transactions'!$I$2:$I$41,0))</f>
        <v>ESM-IN-024</v>
      </c>
      <c r="F28" s="12" t="n">
        <f aca="false">INDEX('Incoming Transactions'!$J$2:$J$41,MATCH($A28,'Incoming Transactions'!$I$2:$I$41,0))</f>
        <v>560000000</v>
      </c>
      <c r="G28" s="2" t="str">
        <f aca="false">INDEX('Incoming Transactions'!$D$2:$D$41,MATCH($A28,'Incoming Transactions'!$I$2:$I$41,0))</f>
        <v>ESM-BY-01</v>
      </c>
      <c r="H28" s="2" t="str">
        <f aca="false">'Franchise Register'!I25</f>
        <v>ESM-BY-01</v>
      </c>
      <c r="I28" s="12" t="n">
        <f aca="false">F28-C28</f>
        <v>0</v>
      </c>
      <c r="J28" s="2" t="str">
        <f aca="false">IF(C28=D28,"OK","DIFF")</f>
        <v>OK</v>
      </c>
      <c r="K28" s="2" t="str">
        <f aca="false">IF(G28=H28,"OK","WRONG ACCOUNT")</f>
        <v>OK</v>
      </c>
      <c r="L28" s="2" t="str">
        <f aca="false">IF(INDEX('Incoming Transactions'!$F$2:$F$41,MATCH($A28,'Incoming Transactions'!$I$2:$I$41,0))=B28,"OK","NAME DIFF")</f>
        <v>OK</v>
      </c>
      <c r="M28" s="14" t="n">
        <f aca="false">DATEVALUE('Franchise Register'!G25)</f>
        <v>45648</v>
      </c>
      <c r="N28" s="14" t="n">
        <f aca="false">DATEVALUE('Franchise Register'!K25)</f>
        <v>45678</v>
      </c>
      <c r="O28" s="14" t="n">
        <f aca="false">DATEVALUE(INDEX('Incoming Transactions'!$C$2:$C$41,MATCH($A28,'Incoming Transactions'!$I$2:$I$41,0)))</f>
        <v>45349</v>
      </c>
      <c r="P28" s="2" t="n">
        <f aca="false">O28-N28</f>
        <v>-329</v>
      </c>
      <c r="Q28" s="2" t="str">
        <f aca="false">IF(O28&lt;M28,"Received BEFORE agreement date",IF(O28&gt;N28,"Late vs due date","On time"))</f>
        <v>Received BEFORE agreement date</v>
      </c>
    </row>
    <row r="29" customFormat="false" ht="15" hidden="false" customHeight="false" outlineLevel="0" collapsed="false">
      <c r="A29" s="2" t="str">
        <f aca="false">'Franchise Register'!C26</f>
        <v>AGR-025</v>
      </c>
      <c r="B29" s="2" t="str">
        <f aca="false">'Franchise Register'!D26</f>
        <v>Partner 25</v>
      </c>
      <c r="C29" s="12" t="n">
        <f aca="false">'Franchise Register'!H26</f>
        <v>900000000</v>
      </c>
      <c r="D29" s="12" t="n">
        <f aca="false">INDEX('Agreement Details'!$G$2:$G$41,MATCH($A29,'Agreement Details'!$B$2:$B$41,0))</f>
        <v>900000000</v>
      </c>
      <c r="E29" s="2" t="str">
        <f aca="false">INDEX('Incoming Transactions'!$B$2:$B$41,MATCH($A29,'Incoming Transactions'!$I$2:$I$41,0))</f>
        <v>ESM-IN-025</v>
      </c>
      <c r="F29" s="12" t="n">
        <f aca="false">INDEX('Incoming Transactions'!$J$2:$J$41,MATCH($A29,'Incoming Transactions'!$I$2:$I$41,0))</f>
        <v>900000000</v>
      </c>
      <c r="G29" s="2" t="str">
        <f aca="false">INDEX('Incoming Transactions'!$D$2:$D$41,MATCH($A29,'Incoming Transactions'!$I$2:$I$41,0))</f>
        <v>ESM-BX-01</v>
      </c>
      <c r="H29" s="2" t="str">
        <f aca="false">'Franchise Register'!I26</f>
        <v>ESM-BX-01</v>
      </c>
      <c r="I29" s="12" t="n">
        <f aca="false">F29-C29</f>
        <v>0</v>
      </c>
      <c r="J29" s="2" t="str">
        <f aca="false">IF(C29=D29,"OK","DIFF")</f>
        <v>OK</v>
      </c>
      <c r="K29" s="2" t="str">
        <f aca="false">IF(G29=H29,"OK","WRONG ACCOUNT")</f>
        <v>OK</v>
      </c>
      <c r="L29" s="2" t="str">
        <f aca="false">IF(INDEX('Incoming Transactions'!$F$2:$F$41,MATCH($A29,'Incoming Transactions'!$I$2:$I$41,0))=B29,"OK","NAME DIFF")</f>
        <v>OK</v>
      </c>
      <c r="M29" s="14" t="n">
        <f aca="false">DATEVALUE('Franchise Register'!G26)</f>
        <v>45316</v>
      </c>
      <c r="N29" s="14" t="n">
        <f aca="false">DATEVALUE('Franchise Register'!K26)</f>
        <v>45346</v>
      </c>
      <c r="O29" s="14" t="n">
        <f aca="false">DATEVALUE(INDEX('Incoming Transactions'!$C$2:$C$41,MATCH($A29,'Incoming Transactions'!$I$2:$I$41,0)))</f>
        <v>45365</v>
      </c>
      <c r="P29" s="2" t="n">
        <f aca="false">O29-N29</f>
        <v>19</v>
      </c>
      <c r="Q29" s="2" t="str">
        <f aca="false">IF(O29&lt;M29,"Received BEFORE agreement date",IF(O29&gt;N29,"Late vs due date","On time"))</f>
        <v>Late vs due date</v>
      </c>
    </row>
    <row r="30" customFormat="false" ht="15" hidden="false" customHeight="false" outlineLevel="0" collapsed="false">
      <c r="A30" s="2" t="str">
        <f aca="false">'Franchise Register'!C27</f>
        <v>AGR-026</v>
      </c>
      <c r="B30" s="2" t="str">
        <f aca="false">'Franchise Register'!D27</f>
        <v>Partner 26</v>
      </c>
      <c r="C30" s="12" t="n">
        <f aca="false">'Franchise Register'!H27</f>
        <v>700000000</v>
      </c>
      <c r="D30" s="12" t="n">
        <f aca="false">INDEX('Agreement Details'!$G$2:$G$41,MATCH($A30,'Agreement Details'!$B$2:$B$41,0))</f>
        <v>700000000</v>
      </c>
      <c r="E30" s="2" t="str">
        <f aca="false">INDEX('Incoming Transactions'!$B$2:$B$41,MATCH($A30,'Incoming Transactions'!$I$2:$I$41,0))</f>
        <v>ESM-IN-026</v>
      </c>
      <c r="F30" s="12" t="n">
        <f aca="false">INDEX('Incoming Transactions'!$J$2:$J$41,MATCH($A30,'Incoming Transactions'!$I$2:$I$41,0))</f>
        <v>700000000</v>
      </c>
      <c r="G30" s="2" t="str">
        <f aca="false">INDEX('Incoming Transactions'!$D$2:$D$41,MATCH($A30,'Incoming Transactions'!$I$2:$I$41,0))</f>
        <v>ESM-BY-01</v>
      </c>
      <c r="H30" s="2" t="str">
        <f aca="false">'Franchise Register'!I27</f>
        <v>ESM-BY-01</v>
      </c>
      <c r="I30" s="12" t="n">
        <f aca="false">F30-C30</f>
        <v>0</v>
      </c>
      <c r="J30" s="2" t="str">
        <f aca="false">IF(C30=D30,"OK","DIFF")</f>
        <v>OK</v>
      </c>
      <c r="K30" s="2" t="str">
        <f aca="false">IF(G30=H30,"OK","WRONG ACCOUNT")</f>
        <v>OK</v>
      </c>
      <c r="L30" s="2" t="str">
        <f aca="false">IF(INDEX('Incoming Transactions'!$F$2:$F$41,MATCH($A30,'Incoming Transactions'!$I$2:$I$41,0))=B30,"OK","NAME DIFF")</f>
        <v>OK</v>
      </c>
      <c r="M30" s="14" t="n">
        <f aca="false">DATEVALUE('Franchise Register'!G27)</f>
        <v>45325</v>
      </c>
      <c r="N30" s="14" t="n">
        <f aca="false">DATEVALUE('Franchise Register'!K27)</f>
        <v>45355</v>
      </c>
      <c r="O30" s="14" t="n">
        <f aca="false">DATEVALUE(INDEX('Incoming Transactions'!$C$2:$C$41,MATCH($A30,'Incoming Transactions'!$I$2:$I$41,0)))</f>
        <v>45384</v>
      </c>
      <c r="P30" s="2" t="n">
        <f aca="false">O30-N30</f>
        <v>29</v>
      </c>
      <c r="Q30" s="2" t="str">
        <f aca="false">IF(O30&lt;M30,"Received BEFORE agreement date",IF(O30&gt;N30,"Late vs due date","On time"))</f>
        <v>Late vs due date</v>
      </c>
    </row>
    <row r="31" customFormat="false" ht="15" hidden="false" customHeight="false" outlineLevel="0" collapsed="false">
      <c r="A31" s="2" t="str">
        <f aca="false">'Franchise Register'!C28</f>
        <v>AGR-027</v>
      </c>
      <c r="B31" s="2" t="str">
        <f aca="false">'Franchise Register'!D28</f>
        <v>Partner 27</v>
      </c>
      <c r="C31" s="12" t="n">
        <f aca="false">'Franchise Register'!H28</f>
        <v>550000000</v>
      </c>
      <c r="D31" s="12" t="n">
        <f aca="false">INDEX('Agreement Details'!$G$2:$G$41,MATCH($A31,'Agreement Details'!$B$2:$B$41,0))</f>
        <v>550000000</v>
      </c>
      <c r="E31" s="2" t="str">
        <f aca="false">INDEX('Incoming Transactions'!$B$2:$B$41,MATCH($A31,'Incoming Transactions'!$I$2:$I$41,0))</f>
        <v>ESM-IN-027</v>
      </c>
      <c r="F31" s="12" t="n">
        <f aca="false">INDEX('Incoming Transactions'!$J$2:$J$41,MATCH($A31,'Incoming Transactions'!$I$2:$I$41,0))</f>
        <v>550000000</v>
      </c>
      <c r="G31" s="2" t="str">
        <f aca="false">INDEX('Incoming Transactions'!$D$2:$D$41,MATCH($A31,'Incoming Transactions'!$I$2:$I$41,0))</f>
        <v>ESM-BX-01</v>
      </c>
      <c r="H31" s="2" t="str">
        <f aca="false">'Franchise Register'!I28</f>
        <v>ESM-BX-01</v>
      </c>
      <c r="I31" s="12" t="n">
        <f aca="false">F31-C31</f>
        <v>0</v>
      </c>
      <c r="J31" s="2" t="str">
        <f aca="false">IF(C31=D31,"OK","DIFF")</f>
        <v>OK</v>
      </c>
      <c r="K31" s="2" t="str">
        <f aca="false">IF(G31=H31,"OK","WRONG ACCOUNT")</f>
        <v>OK</v>
      </c>
      <c r="L31" s="2" t="str">
        <f aca="false">IF(INDEX('Incoming Transactions'!$F$2:$F$41,MATCH($A31,'Incoming Transactions'!$I$2:$I$41,0))=B31,"OK","NAME DIFF")</f>
        <v>OK</v>
      </c>
      <c r="M31" s="14" t="n">
        <f aca="false">DATEVALUE('Franchise Register'!G28)</f>
        <v>45357</v>
      </c>
      <c r="N31" s="14" t="n">
        <f aca="false">DATEVALUE('Franchise Register'!K28)</f>
        <v>45387</v>
      </c>
      <c r="O31" s="14" t="n">
        <f aca="false">DATEVALUE(INDEX('Incoming Transactions'!$C$2:$C$41,MATCH($A31,'Incoming Transactions'!$I$2:$I$41,0)))</f>
        <v>45400</v>
      </c>
      <c r="P31" s="2" t="n">
        <f aca="false">O31-N31</f>
        <v>13</v>
      </c>
      <c r="Q31" s="2" t="str">
        <f aca="false">IF(O31&lt;M31,"Received BEFORE agreement date",IF(O31&gt;N31,"Late vs due date","On time"))</f>
        <v>Late vs due date</v>
      </c>
    </row>
    <row r="32" customFormat="false" ht="15" hidden="false" customHeight="false" outlineLevel="0" collapsed="false">
      <c r="A32" s="2" t="str">
        <f aca="false">'Franchise Register'!C29</f>
        <v>AGR-028</v>
      </c>
      <c r="B32" s="2" t="str">
        <f aca="false">'Franchise Register'!D29</f>
        <v>Partner 28</v>
      </c>
      <c r="C32" s="12" t="n">
        <f aca="false">'Franchise Register'!H29</f>
        <v>580000000</v>
      </c>
      <c r="D32" s="12" t="n">
        <f aca="false">INDEX('Agreement Details'!$G$2:$G$41,MATCH($A32,'Agreement Details'!$B$2:$B$41,0))</f>
        <v>580000000</v>
      </c>
      <c r="E32" s="2" t="str">
        <f aca="false">INDEX('Incoming Transactions'!$B$2:$B$41,MATCH($A32,'Incoming Transactions'!$I$2:$I$41,0))</f>
        <v>ESM-IN-028</v>
      </c>
      <c r="F32" s="12" t="n">
        <f aca="false">INDEX('Incoming Transactions'!$J$2:$J$41,MATCH($A32,'Incoming Transactions'!$I$2:$I$41,0))</f>
        <v>580000000</v>
      </c>
      <c r="G32" s="2" t="str">
        <f aca="false">INDEX('Incoming Transactions'!$D$2:$D$41,MATCH($A32,'Incoming Transactions'!$I$2:$I$41,0))</f>
        <v>ESM-BY-01</v>
      </c>
      <c r="H32" s="2" t="str">
        <f aca="false">'Franchise Register'!I29</f>
        <v>ESM-BY-01</v>
      </c>
      <c r="I32" s="12" t="n">
        <f aca="false">F32-C32</f>
        <v>0</v>
      </c>
      <c r="J32" s="2" t="str">
        <f aca="false">IF(C32=D32,"OK","DIFF")</f>
        <v>OK</v>
      </c>
      <c r="K32" s="2" t="str">
        <f aca="false">IF(G32=H32,"OK","WRONG ACCOUNT")</f>
        <v>OK</v>
      </c>
      <c r="L32" s="2" t="str">
        <f aca="false">IF(INDEX('Incoming Transactions'!$F$2:$F$41,MATCH($A32,'Incoming Transactions'!$I$2:$I$41,0))=B32,"OK","NAME DIFF")</f>
        <v>OK</v>
      </c>
      <c r="M32" s="14" t="n">
        <f aca="false">DATEVALUE('Franchise Register'!G29)</f>
        <v>45391</v>
      </c>
      <c r="N32" s="14" t="n">
        <f aca="false">DATEVALUE('Franchise Register'!K29)</f>
        <v>45421</v>
      </c>
      <c r="O32" s="14" t="n">
        <f aca="false">DATEVALUE(INDEX('Incoming Transactions'!$C$2:$C$41,MATCH($A32,'Incoming Transactions'!$I$2:$I$41,0)))</f>
        <v>45415</v>
      </c>
      <c r="P32" s="2" t="n">
        <f aca="false">O32-N32</f>
        <v>-6</v>
      </c>
      <c r="Q32" s="2" t="str">
        <f aca="false">IF(O32&lt;M32,"Received BEFORE agreement date",IF(O32&gt;N32,"Late vs due date","On time"))</f>
        <v>On time</v>
      </c>
    </row>
    <row r="33" customFormat="false" ht="15" hidden="false" customHeight="false" outlineLevel="0" collapsed="false">
      <c r="A33" s="2" t="str">
        <f aca="false">'Franchise Register'!C30</f>
        <v>AGR-029</v>
      </c>
      <c r="B33" s="2" t="str">
        <f aca="false">'Franchise Register'!D30</f>
        <v>Partner 29</v>
      </c>
      <c r="C33" s="12" t="n">
        <f aca="false">'Franchise Register'!H30</f>
        <v>770000000</v>
      </c>
      <c r="D33" s="12" t="n">
        <f aca="false">INDEX('Agreement Details'!$G$2:$G$41,MATCH($A33,'Agreement Details'!$B$2:$B$41,0))</f>
        <v>770000000</v>
      </c>
      <c r="E33" s="2" t="str">
        <f aca="false">INDEX('Incoming Transactions'!$B$2:$B$41,MATCH($A33,'Incoming Transactions'!$I$2:$I$41,0))</f>
        <v>ESM-IN-029</v>
      </c>
      <c r="F33" s="12" t="n">
        <f aca="false">INDEX('Incoming Transactions'!$J$2:$J$41,MATCH($A33,'Incoming Transactions'!$I$2:$I$41,0))</f>
        <v>770000000</v>
      </c>
      <c r="G33" s="2" t="str">
        <f aca="false">INDEX('Incoming Transactions'!$D$2:$D$41,MATCH($A33,'Incoming Transactions'!$I$2:$I$41,0))</f>
        <v>ESM-BX-01</v>
      </c>
      <c r="H33" s="2" t="str">
        <f aca="false">'Franchise Register'!I30</f>
        <v>ESM-BX-01</v>
      </c>
      <c r="I33" s="12" t="n">
        <f aca="false">F33-C33</f>
        <v>0</v>
      </c>
      <c r="J33" s="2" t="str">
        <f aca="false">IF(C33=D33,"OK","DIFF")</f>
        <v>OK</v>
      </c>
      <c r="K33" s="2" t="str">
        <f aca="false">IF(G33=H33,"OK","WRONG ACCOUNT")</f>
        <v>OK</v>
      </c>
      <c r="L33" s="2" t="str">
        <f aca="false">IF(INDEX('Incoming Transactions'!$F$2:$F$41,MATCH($A33,'Incoming Transactions'!$I$2:$I$41,0))=B33,"OK","NAME DIFF")</f>
        <v>OK</v>
      </c>
      <c r="M33" s="14" t="n">
        <f aca="false">DATEVALUE('Franchise Register'!G30)</f>
        <v>45424</v>
      </c>
      <c r="N33" s="14" t="n">
        <f aca="false">DATEVALUE('Franchise Register'!K30)</f>
        <v>45454</v>
      </c>
      <c r="O33" s="14" t="n">
        <f aca="false">DATEVALUE(INDEX('Incoming Transactions'!$C$2:$C$41,MATCH($A33,'Incoming Transactions'!$I$2:$I$41,0)))</f>
        <v>45429</v>
      </c>
      <c r="P33" s="2" t="n">
        <f aca="false">O33-N33</f>
        <v>-25</v>
      </c>
      <c r="Q33" s="2" t="str">
        <f aca="false">IF(O33&lt;M33,"Received BEFORE agreement date",IF(O33&gt;N33,"Late vs due date","On time"))</f>
        <v>On time</v>
      </c>
    </row>
    <row r="34" customFormat="false" ht="15" hidden="false" customHeight="false" outlineLevel="0" collapsed="false">
      <c r="A34" s="2" t="str">
        <f aca="false">'Franchise Register'!C31</f>
        <v>AGR-030</v>
      </c>
      <c r="B34" s="2" t="str">
        <f aca="false">'Franchise Register'!D31</f>
        <v>Partner 30</v>
      </c>
      <c r="C34" s="12" t="n">
        <f aca="false">'Franchise Register'!H31</f>
        <v>620000000</v>
      </c>
      <c r="D34" s="12" t="n">
        <f aca="false">INDEX('Agreement Details'!$G$2:$G$41,MATCH($A34,'Agreement Details'!$B$2:$B$41,0))</f>
        <v>620000000</v>
      </c>
      <c r="E34" s="2" t="str">
        <f aca="false">INDEX('Incoming Transactions'!$B$2:$B$41,MATCH($A34,'Incoming Transactions'!$I$2:$I$41,0))</f>
        <v>ESM-IN-030</v>
      </c>
      <c r="F34" s="12" t="n">
        <f aca="false">INDEX('Incoming Transactions'!$J$2:$J$41,MATCH($A34,'Incoming Transactions'!$I$2:$I$41,0))</f>
        <v>620000000</v>
      </c>
      <c r="G34" s="2" t="str">
        <f aca="false">INDEX('Incoming Transactions'!$D$2:$D$41,MATCH($A34,'Incoming Transactions'!$I$2:$I$41,0))</f>
        <v>ESM-BY-01</v>
      </c>
      <c r="H34" s="2" t="str">
        <f aca="false">'Franchise Register'!I31</f>
        <v>ESM-BY-01</v>
      </c>
      <c r="I34" s="12" t="n">
        <f aca="false">F34-C34</f>
        <v>0</v>
      </c>
      <c r="J34" s="2" t="str">
        <f aca="false">IF(C34=D34,"OK","DIFF")</f>
        <v>OK</v>
      </c>
      <c r="K34" s="2" t="str">
        <f aca="false">IF(G34=H34,"OK","WRONG ACCOUNT")</f>
        <v>OK</v>
      </c>
      <c r="L34" s="2" t="str">
        <f aca="false">IF(INDEX('Incoming Transactions'!$F$2:$F$41,MATCH($A34,'Incoming Transactions'!$I$2:$I$41,0))=B34,"OK","NAME DIFF")</f>
        <v>OK</v>
      </c>
      <c r="M34" s="14" t="n">
        <f aca="false">DATEVALUE('Franchise Register'!G31)</f>
        <v>45458</v>
      </c>
      <c r="N34" s="14" t="n">
        <f aca="false">DATEVALUE('Franchise Register'!K31)</f>
        <v>45488</v>
      </c>
      <c r="O34" s="14" t="n">
        <f aca="false">DATEVALUE(INDEX('Incoming Transactions'!$C$2:$C$41,MATCH($A34,'Incoming Transactions'!$I$2:$I$41,0)))</f>
        <v>45447</v>
      </c>
      <c r="P34" s="2" t="n">
        <f aca="false">O34-N34</f>
        <v>-41</v>
      </c>
      <c r="Q34" s="2" t="str">
        <f aca="false">IF(O34&lt;M34,"Received BEFORE agreement date",IF(O34&gt;N34,"Late vs due date","On time"))</f>
        <v>Received BEFORE agreement date</v>
      </c>
    </row>
    <row r="35" customFormat="false" ht="15" hidden="false" customHeight="false" outlineLevel="0" collapsed="false">
      <c r="A35" s="2" t="str">
        <f aca="false">'Franchise Register'!C32</f>
        <v>AGR-031</v>
      </c>
      <c r="B35" s="2" t="str">
        <f aca="false">'Franchise Register'!D32</f>
        <v>Partner 31</v>
      </c>
      <c r="C35" s="12" t="n">
        <f aca="false">'Franchise Register'!H32</f>
        <v>600000000</v>
      </c>
      <c r="D35" s="12" t="n">
        <f aca="false">INDEX('Agreement Details'!$G$2:$G$41,MATCH($A35,'Agreement Details'!$B$2:$B$41,0))</f>
        <v>600000000</v>
      </c>
      <c r="E35" s="2" t="str">
        <f aca="false">INDEX('Incoming Transactions'!$B$2:$B$41,MATCH($A35,'Incoming Transactions'!$I$2:$I$41,0))</f>
        <v>ESM-IN-031</v>
      </c>
      <c r="F35" s="12" t="n">
        <f aca="false">INDEX('Incoming Transactions'!$J$2:$J$41,MATCH($A35,'Incoming Transactions'!$I$2:$I$41,0))</f>
        <v>600000000</v>
      </c>
      <c r="G35" s="2" t="str">
        <f aca="false">INDEX('Incoming Transactions'!$D$2:$D$41,MATCH($A35,'Incoming Transactions'!$I$2:$I$41,0))</f>
        <v>ESM-BX-01</v>
      </c>
      <c r="H35" s="2" t="str">
        <f aca="false">'Franchise Register'!I32</f>
        <v>ESM-BX-01</v>
      </c>
      <c r="I35" s="12" t="n">
        <f aca="false">F35-C35</f>
        <v>0</v>
      </c>
      <c r="J35" s="2" t="str">
        <f aca="false">IF(C35=D35,"OK","DIFF")</f>
        <v>OK</v>
      </c>
      <c r="K35" s="2" t="str">
        <f aca="false">IF(G35=H35,"OK","WRONG ACCOUNT")</f>
        <v>OK</v>
      </c>
      <c r="L35" s="2" t="str">
        <f aca="false">IF(INDEX('Incoming Transactions'!$F$2:$F$41,MATCH($A35,'Incoming Transactions'!$I$2:$I$41,0))=B35,"OK","NAME DIFF")</f>
        <v>OK</v>
      </c>
      <c r="M35" s="14" t="n">
        <f aca="false">DATEVALUE('Franchise Register'!G32)</f>
        <v>45491</v>
      </c>
      <c r="N35" s="14" t="n">
        <f aca="false">DATEVALUE('Franchise Register'!K32)</f>
        <v>45521</v>
      </c>
      <c r="O35" s="14" t="n">
        <f aca="false">DATEVALUE(INDEX('Incoming Transactions'!$C$2:$C$41,MATCH($A35,'Incoming Transactions'!$I$2:$I$41,0)))</f>
        <v>45464</v>
      </c>
      <c r="P35" s="2" t="n">
        <f aca="false">O35-N35</f>
        <v>-57</v>
      </c>
      <c r="Q35" s="2" t="str">
        <f aca="false">IF(O35&lt;M35,"Received BEFORE agreement date",IF(O35&gt;N35,"Late vs due date","On time"))</f>
        <v>Received BEFORE agreement date</v>
      </c>
    </row>
    <row r="36" customFormat="false" ht="15" hidden="false" customHeight="false" outlineLevel="0" collapsed="false">
      <c r="A36" s="2" t="str">
        <f aca="false">'Franchise Register'!C33</f>
        <v>AGR-032</v>
      </c>
      <c r="B36" s="2" t="str">
        <f aca="false">'Franchise Register'!D33</f>
        <v>Partner 32</v>
      </c>
      <c r="C36" s="12" t="n">
        <f aca="false">'Franchise Register'!H33</f>
        <v>840000000</v>
      </c>
      <c r="D36" s="12" t="n">
        <f aca="false">INDEX('Agreement Details'!$G$2:$G$41,MATCH($A36,'Agreement Details'!$B$2:$B$41,0))</f>
        <v>840000000</v>
      </c>
      <c r="E36" s="2" t="str">
        <f aca="false">INDEX('Incoming Transactions'!$B$2:$B$41,MATCH($A36,'Incoming Transactions'!$I$2:$I$41,0))</f>
        <v>ESM-IN-032</v>
      </c>
      <c r="F36" s="12" t="n">
        <f aca="false">INDEX('Incoming Transactions'!$J$2:$J$41,MATCH($A36,'Incoming Transactions'!$I$2:$I$41,0))</f>
        <v>840000000</v>
      </c>
      <c r="G36" s="2" t="str">
        <f aca="false">INDEX('Incoming Transactions'!$D$2:$D$41,MATCH($A36,'Incoming Transactions'!$I$2:$I$41,0))</f>
        <v>ESM-BY-01</v>
      </c>
      <c r="H36" s="2" t="str">
        <f aca="false">'Franchise Register'!I33</f>
        <v>ESM-BY-01</v>
      </c>
      <c r="I36" s="12" t="n">
        <f aca="false">F36-C36</f>
        <v>0</v>
      </c>
      <c r="J36" s="2" t="str">
        <f aca="false">IF(C36=D36,"OK","DIFF")</f>
        <v>OK</v>
      </c>
      <c r="K36" s="2" t="str">
        <f aca="false">IF(G36=H36,"OK","WRONG ACCOUNT")</f>
        <v>OK</v>
      </c>
      <c r="L36" s="2" t="str">
        <f aca="false">IF(INDEX('Incoming Transactions'!$F$2:$F$41,MATCH($A36,'Incoming Transactions'!$I$2:$I$41,0))=B36,"OK","NAME DIFF")</f>
        <v>OK</v>
      </c>
      <c r="M36" s="14" t="n">
        <f aca="false">DATEVALUE('Franchise Register'!G33)</f>
        <v>45525</v>
      </c>
      <c r="N36" s="14" t="n">
        <f aca="false">DATEVALUE('Franchise Register'!K33)</f>
        <v>45555</v>
      </c>
      <c r="O36" s="14" t="n">
        <f aca="false">DATEVALUE(INDEX('Incoming Transactions'!$C$2:$C$41,MATCH($A36,'Incoming Transactions'!$I$2:$I$41,0)))</f>
        <v>45481</v>
      </c>
      <c r="P36" s="2" t="n">
        <f aca="false">O36-N36</f>
        <v>-74</v>
      </c>
      <c r="Q36" s="2" t="str">
        <f aca="false">IF(O36&lt;M36,"Received BEFORE agreement date",IF(O36&gt;N36,"Late vs due date","On time"))</f>
        <v>Received BEFORE agreement date</v>
      </c>
    </row>
    <row r="37" customFormat="false" ht="15" hidden="false" customHeight="false" outlineLevel="0" collapsed="false">
      <c r="A37" s="2" t="str">
        <f aca="false">'Franchise Register'!C34</f>
        <v>AGR-033</v>
      </c>
      <c r="B37" s="2" t="str">
        <f aca="false">'Franchise Register'!D34</f>
        <v>Partner 33</v>
      </c>
      <c r="C37" s="12" t="n">
        <f aca="false">'Franchise Register'!H34</f>
        <v>710000000</v>
      </c>
      <c r="D37" s="12" t="n">
        <f aca="false">INDEX('Agreement Details'!$G$2:$G$41,MATCH($A37,'Agreement Details'!$B$2:$B$41,0))</f>
        <v>710000000</v>
      </c>
      <c r="E37" s="2" t="str">
        <f aca="false">INDEX('Incoming Transactions'!$B$2:$B$41,MATCH($A37,'Incoming Transactions'!$I$2:$I$41,0))</f>
        <v>ESM-IN-033</v>
      </c>
      <c r="F37" s="12" t="n">
        <f aca="false">INDEX('Incoming Transactions'!$J$2:$J$41,MATCH($A37,'Incoming Transactions'!$I$2:$I$41,0))</f>
        <v>710000000</v>
      </c>
      <c r="G37" s="2" t="str">
        <f aca="false">INDEX('Incoming Transactions'!$D$2:$D$41,MATCH($A37,'Incoming Transactions'!$I$2:$I$41,0))</f>
        <v>ESM-BX-01</v>
      </c>
      <c r="H37" s="2" t="str">
        <f aca="false">'Franchise Register'!I34</f>
        <v>ESM-BX-01</v>
      </c>
      <c r="I37" s="12" t="n">
        <f aca="false">F37-C37</f>
        <v>0</v>
      </c>
      <c r="J37" s="2" t="str">
        <f aca="false">IF(C37=D37,"OK","DIFF")</f>
        <v>OK</v>
      </c>
      <c r="K37" s="2" t="str">
        <f aca="false">IF(G37=H37,"OK","WRONG ACCOUNT")</f>
        <v>OK</v>
      </c>
      <c r="L37" s="2" t="str">
        <f aca="false">IF(INDEX('Incoming Transactions'!$F$2:$F$41,MATCH($A37,'Incoming Transactions'!$I$2:$I$41,0))=B37,"OK","NAME DIFF")</f>
        <v>OK</v>
      </c>
      <c r="M37" s="14" t="n">
        <f aca="false">DATEVALUE('Franchise Register'!G34)</f>
        <v>45559</v>
      </c>
      <c r="N37" s="14" t="n">
        <f aca="false">DATEVALUE('Franchise Register'!K34)</f>
        <v>45589</v>
      </c>
      <c r="O37" s="14" t="n">
        <f aca="false">DATEVALUE(INDEX('Incoming Transactions'!$C$2:$C$41,MATCH($A37,'Incoming Transactions'!$I$2:$I$41,0)))</f>
        <v>45498</v>
      </c>
      <c r="P37" s="2" t="n">
        <f aca="false">O37-N37</f>
        <v>-91</v>
      </c>
      <c r="Q37" s="2" t="str">
        <f aca="false">IF(O37&lt;M37,"Received BEFORE agreement date",IF(O37&gt;N37,"Late vs due date","On time"))</f>
        <v>Received BEFORE agreement date</v>
      </c>
    </row>
    <row r="38" customFormat="false" ht="15" hidden="false" customHeight="false" outlineLevel="0" collapsed="false">
      <c r="A38" s="2" t="str">
        <f aca="false">'Franchise Register'!C35</f>
        <v>AGR-034</v>
      </c>
      <c r="B38" s="2" t="str">
        <f aca="false">'Franchise Register'!D35</f>
        <v>Partner 34</v>
      </c>
      <c r="C38" s="12" t="n">
        <f aca="false">'Franchise Register'!H35</f>
        <v>620000000</v>
      </c>
      <c r="D38" s="12" t="n">
        <f aca="false">INDEX('Agreement Details'!$G$2:$G$41,MATCH($A38,'Agreement Details'!$B$2:$B$41,0))</f>
        <v>620000000</v>
      </c>
      <c r="E38" s="2" t="str">
        <f aca="false">INDEX('Incoming Transactions'!$B$2:$B$41,MATCH($A38,'Incoming Transactions'!$I$2:$I$41,0))</f>
        <v>ESM-IN-034</v>
      </c>
      <c r="F38" s="12" t="n">
        <f aca="false">INDEX('Incoming Transactions'!$J$2:$J$41,MATCH($A38,'Incoming Transactions'!$I$2:$I$41,0))</f>
        <v>620000000</v>
      </c>
      <c r="G38" s="2" t="str">
        <f aca="false">INDEX('Incoming Transactions'!$D$2:$D$41,MATCH($A38,'Incoming Transactions'!$I$2:$I$41,0))</f>
        <v>ESM-BY-01</v>
      </c>
      <c r="H38" s="2" t="str">
        <f aca="false">'Franchise Register'!I35</f>
        <v>ESM-BY-01</v>
      </c>
      <c r="I38" s="12" t="n">
        <f aca="false">F38-C38</f>
        <v>0</v>
      </c>
      <c r="J38" s="2" t="str">
        <f aca="false">IF(C38=D38,"OK","DIFF")</f>
        <v>OK</v>
      </c>
      <c r="K38" s="2" t="str">
        <f aca="false">IF(G38=H38,"OK","WRONG ACCOUNT")</f>
        <v>OK</v>
      </c>
      <c r="L38" s="2" t="str">
        <f aca="false">IF(INDEX('Incoming Transactions'!$F$2:$F$41,MATCH($A38,'Incoming Transactions'!$I$2:$I$41,0))=B38,"OK","NAME DIFF")</f>
        <v>OK</v>
      </c>
      <c r="M38" s="14" t="n">
        <f aca="false">DATEVALUE('Franchise Register'!G35)</f>
        <v>45567</v>
      </c>
      <c r="N38" s="14" t="n">
        <f aca="false">DATEVALUE('Franchise Register'!K35)</f>
        <v>45597</v>
      </c>
      <c r="O38" s="14" t="n">
        <f aca="false">DATEVALUE(INDEX('Incoming Transactions'!$C$2:$C$41,MATCH($A38,'Incoming Transactions'!$I$2:$I$41,0)))</f>
        <v>45513</v>
      </c>
      <c r="P38" s="2" t="n">
        <f aca="false">O38-N38</f>
        <v>-84</v>
      </c>
      <c r="Q38" s="2" t="str">
        <f aca="false">IF(O38&lt;M38,"Received BEFORE agreement date",IF(O38&gt;N38,"Late vs due date","On time"))</f>
        <v>Received BEFORE agreement date</v>
      </c>
    </row>
    <row r="39" customFormat="false" ht="15" hidden="false" customHeight="false" outlineLevel="0" collapsed="false">
      <c r="A39" s="2" t="str">
        <f aca="false">'Franchise Register'!C36</f>
        <v>AGR-035</v>
      </c>
      <c r="B39" s="2" t="str">
        <f aca="false">'Franchise Register'!D36</f>
        <v>Partner 35</v>
      </c>
      <c r="C39" s="12" t="n">
        <f aca="false">'Franchise Register'!H36</f>
        <v>690000000</v>
      </c>
      <c r="D39" s="12" t="n">
        <f aca="false">INDEX('Agreement Details'!$G$2:$G$41,MATCH($A39,'Agreement Details'!$B$2:$B$41,0))</f>
        <v>690000000</v>
      </c>
      <c r="E39" s="2" t="str">
        <f aca="false">INDEX('Incoming Transactions'!$B$2:$B$41,MATCH($A39,'Incoming Transactions'!$I$2:$I$41,0))</f>
        <v>ESM-IN-035</v>
      </c>
      <c r="F39" s="12" t="n">
        <f aca="false">INDEX('Incoming Transactions'!$J$2:$J$41,MATCH($A39,'Incoming Transactions'!$I$2:$I$41,0))</f>
        <v>690000000</v>
      </c>
      <c r="G39" s="2" t="str">
        <f aca="false">INDEX('Incoming Transactions'!$D$2:$D$41,MATCH($A39,'Incoming Transactions'!$I$2:$I$41,0))</f>
        <v>ESM-BX-01</v>
      </c>
      <c r="H39" s="2" t="str">
        <f aca="false">'Franchise Register'!I36</f>
        <v>ESM-BX-01</v>
      </c>
      <c r="I39" s="12" t="n">
        <f aca="false">F39-C39</f>
        <v>0</v>
      </c>
      <c r="J39" s="2" t="str">
        <f aca="false">IF(C39=D39,"OK","DIFF")</f>
        <v>OK</v>
      </c>
      <c r="K39" s="2" t="str">
        <f aca="false">IF(G39=H39,"OK","WRONG ACCOUNT")</f>
        <v>OK</v>
      </c>
      <c r="L39" s="2" t="str">
        <f aca="false">IF(INDEX('Incoming Transactions'!$F$2:$F$41,MATCH($A39,'Incoming Transactions'!$I$2:$I$41,0))=B39,"OK","NAME DIFF")</f>
        <v>OK</v>
      </c>
      <c r="M39" s="14" t="n">
        <f aca="false">DATEVALUE('Franchise Register'!G36)</f>
        <v>45601</v>
      </c>
      <c r="N39" s="14" t="n">
        <f aca="false">DATEVALUE('Franchise Register'!K36)</f>
        <v>45631</v>
      </c>
      <c r="O39" s="14" t="n">
        <f aca="false">DATEVALUE(INDEX('Incoming Transactions'!$C$2:$C$41,MATCH($A39,'Incoming Transactions'!$I$2:$I$41,0)))</f>
        <v>45527</v>
      </c>
      <c r="P39" s="2" t="n">
        <f aca="false">O39-N39</f>
        <v>-104</v>
      </c>
      <c r="Q39" s="2" t="str">
        <f aca="false">IF(O39&lt;M39,"Received BEFORE agreement date",IF(O39&gt;N39,"Late vs due date","On time"))</f>
        <v>Received BEFORE agreement date</v>
      </c>
    </row>
    <row r="40" customFormat="false" ht="15" hidden="false" customHeight="false" outlineLevel="0" collapsed="false">
      <c r="A40" s="2" t="str">
        <f aca="false">'Franchise Register'!C37</f>
        <v>AGR-036</v>
      </c>
      <c r="B40" s="2" t="str">
        <f aca="false">'Franchise Register'!D37</f>
        <v>Partner 36</v>
      </c>
      <c r="C40" s="12" t="n">
        <f aca="false">'Franchise Register'!H37</f>
        <v>760000000</v>
      </c>
      <c r="D40" s="12" t="n">
        <f aca="false">INDEX('Agreement Details'!$G$2:$G$41,MATCH($A40,'Agreement Details'!$B$2:$B$41,0))</f>
        <v>760000000</v>
      </c>
      <c r="E40" s="2" t="str">
        <f aca="false">INDEX('Incoming Transactions'!$B$2:$B$41,MATCH($A40,'Incoming Transactions'!$I$2:$I$41,0))</f>
        <v>ESM-IN-036</v>
      </c>
      <c r="F40" s="12" t="n">
        <f aca="false">INDEX('Incoming Transactions'!$J$2:$J$41,MATCH($A40,'Incoming Transactions'!$I$2:$I$41,0))</f>
        <v>760000000</v>
      </c>
      <c r="G40" s="2" t="str">
        <f aca="false">INDEX('Incoming Transactions'!$D$2:$D$41,MATCH($A40,'Incoming Transactions'!$I$2:$I$41,0))</f>
        <v>ESM-BY-01</v>
      </c>
      <c r="H40" s="2" t="str">
        <f aca="false">'Franchise Register'!I37</f>
        <v>ESM-BY-01</v>
      </c>
      <c r="I40" s="12" t="n">
        <f aca="false">F40-C40</f>
        <v>0</v>
      </c>
      <c r="J40" s="2" t="str">
        <f aca="false">IF(C40=D40,"OK","DIFF")</f>
        <v>OK</v>
      </c>
      <c r="K40" s="2" t="str">
        <f aca="false">IF(G40=H40,"OK","WRONG ACCOUNT")</f>
        <v>OK</v>
      </c>
      <c r="L40" s="2" t="str">
        <f aca="false">IF(INDEX('Incoming Transactions'!$F$2:$F$41,MATCH($A40,'Incoming Transactions'!$I$2:$I$41,0))=B40,"OK","NAME DIFF")</f>
        <v>OK</v>
      </c>
      <c r="M40" s="14" t="n">
        <f aca="false">DATEVALUE('Franchise Register'!G37)</f>
        <v>45634</v>
      </c>
      <c r="N40" s="14" t="n">
        <f aca="false">DATEVALUE('Franchise Register'!K37)</f>
        <v>45664</v>
      </c>
      <c r="O40" s="14" t="n">
        <f aca="false">DATEVALUE(INDEX('Incoming Transactions'!$C$2:$C$41,MATCH($A40,'Incoming Transactions'!$I$2:$I$41,0)))</f>
        <v>45541</v>
      </c>
      <c r="P40" s="2" t="n">
        <f aca="false">O40-N40</f>
        <v>-123</v>
      </c>
      <c r="Q40" s="2" t="str">
        <f aca="false">IF(O40&lt;M40,"Received BEFORE agreement date",IF(O40&gt;N40,"Late vs due date","On time"))</f>
        <v>Received BEFORE agreement date</v>
      </c>
    </row>
    <row r="41" customFormat="false" ht="15" hidden="false" customHeight="false" outlineLevel="0" collapsed="false">
      <c r="A41" s="2" t="str">
        <f aca="false">'Franchise Register'!C38</f>
        <v>AGR-037</v>
      </c>
      <c r="B41" s="2" t="str">
        <f aca="false">'Franchise Register'!D38</f>
        <v>Partner 37</v>
      </c>
      <c r="C41" s="12" t="n">
        <f aca="false">'Franchise Register'!H38</f>
        <v>660000000</v>
      </c>
      <c r="D41" s="12" t="n">
        <f aca="false">INDEX('Agreement Details'!$G$2:$G$41,MATCH($A41,'Agreement Details'!$B$2:$B$41,0))</f>
        <v>660000000</v>
      </c>
      <c r="E41" s="2" t="str">
        <f aca="false">INDEX('Incoming Transactions'!$B$2:$B$41,MATCH($A41,'Incoming Transactions'!$I$2:$I$41,0))</f>
        <v>ESM-IN-037</v>
      </c>
      <c r="F41" s="12" t="n">
        <f aca="false">INDEX('Incoming Transactions'!$J$2:$J$41,MATCH($A41,'Incoming Transactions'!$I$2:$I$41,0))</f>
        <v>660000000</v>
      </c>
      <c r="G41" s="2" t="str">
        <f aca="false">INDEX('Incoming Transactions'!$D$2:$D$41,MATCH($A41,'Incoming Transactions'!$I$2:$I$41,0))</f>
        <v>ESM-BX-01</v>
      </c>
      <c r="H41" s="2" t="str">
        <f aca="false">'Franchise Register'!I38</f>
        <v>ESM-BX-01</v>
      </c>
      <c r="I41" s="12" t="n">
        <f aca="false">F41-C41</f>
        <v>0</v>
      </c>
      <c r="J41" s="2" t="str">
        <f aca="false">IF(C41=D41,"OK","DIFF")</f>
        <v>OK</v>
      </c>
      <c r="K41" s="2" t="str">
        <f aca="false">IF(G41=H41,"OK","WRONG ACCOUNT")</f>
        <v>OK</v>
      </c>
      <c r="L41" s="2" t="str">
        <f aca="false">IF(INDEX('Incoming Transactions'!$F$2:$F$41,MATCH($A41,'Incoming Transactions'!$I$2:$I$41,0))=B41,"OK","NAME DIFF")</f>
        <v>OK</v>
      </c>
      <c r="M41" s="14" t="n">
        <f aca="false">DATEVALUE('Franchise Register'!G38)</f>
        <v>45302</v>
      </c>
      <c r="N41" s="14" t="n">
        <f aca="false">DATEVALUE('Franchise Register'!K38)</f>
        <v>45332</v>
      </c>
      <c r="O41" s="14" t="n">
        <f aca="false">DATEVALUE(INDEX('Incoming Transactions'!$C$2:$C$41,MATCH($A41,'Incoming Transactions'!$I$2:$I$41,0)))</f>
        <v>45555</v>
      </c>
      <c r="P41" s="2" t="n">
        <f aca="false">O41-N41</f>
        <v>223</v>
      </c>
      <c r="Q41" s="2" t="str">
        <f aca="false">IF(O41&lt;M41,"Received BEFORE agreement date",IF(O41&gt;N41,"Late vs due date","On time"))</f>
        <v>Late vs due date</v>
      </c>
    </row>
    <row r="42" customFormat="false" ht="15" hidden="false" customHeight="false" outlineLevel="0" collapsed="false">
      <c r="A42" s="2" t="str">
        <f aca="false">'Franchise Register'!C39</f>
        <v>AGR-038</v>
      </c>
      <c r="B42" s="2" t="str">
        <f aca="false">'Franchise Register'!D39</f>
        <v>Partner 38</v>
      </c>
      <c r="C42" s="12" t="n">
        <f aca="false">'Franchise Register'!H39</f>
        <v>730000000</v>
      </c>
      <c r="D42" s="12" t="n">
        <f aca="false">INDEX('Agreement Details'!$G$2:$G$41,MATCH($A42,'Agreement Details'!$B$2:$B$41,0))</f>
        <v>730000000</v>
      </c>
      <c r="E42" s="2" t="str">
        <f aca="false">INDEX('Incoming Transactions'!$B$2:$B$41,MATCH($A42,'Incoming Transactions'!$I$2:$I$41,0))</f>
        <v>ESM-IN-038</v>
      </c>
      <c r="F42" s="12" t="n">
        <f aca="false">INDEX('Incoming Transactions'!$J$2:$J$41,MATCH($A42,'Incoming Transactions'!$I$2:$I$41,0))</f>
        <v>730000000</v>
      </c>
      <c r="G42" s="2" t="str">
        <f aca="false">INDEX('Incoming Transactions'!$D$2:$D$41,MATCH($A42,'Incoming Transactions'!$I$2:$I$41,0))</f>
        <v>ESM-BY-01</v>
      </c>
      <c r="H42" s="2" t="str">
        <f aca="false">'Franchise Register'!I39</f>
        <v>ESM-BY-01</v>
      </c>
      <c r="I42" s="12" t="n">
        <f aca="false">F42-C42</f>
        <v>0</v>
      </c>
      <c r="J42" s="2" t="str">
        <f aca="false">IF(C42=D42,"OK","DIFF")</f>
        <v>OK</v>
      </c>
      <c r="K42" s="2" t="str">
        <f aca="false">IF(G42=H42,"OK","WRONG ACCOUNT")</f>
        <v>OK</v>
      </c>
      <c r="L42" s="2" t="str">
        <f aca="false">IF(INDEX('Incoming Transactions'!$F$2:$F$41,MATCH($A42,'Incoming Transactions'!$I$2:$I$41,0))=B42,"OK","NAME DIFF")</f>
        <v>OK</v>
      </c>
      <c r="M42" s="14" t="n">
        <f aca="false">DATEVALUE('Franchise Register'!G39)</f>
        <v>45336</v>
      </c>
      <c r="N42" s="14" t="n">
        <f aca="false">DATEVALUE('Franchise Register'!K39)</f>
        <v>45366</v>
      </c>
      <c r="O42" s="14" t="n">
        <f aca="false">DATEVALUE(INDEX('Incoming Transactions'!$C$2:$C$41,MATCH($A42,'Incoming Transactions'!$I$2:$I$41,0)))</f>
        <v>45572</v>
      </c>
      <c r="P42" s="2" t="n">
        <f aca="false">O42-N42</f>
        <v>206</v>
      </c>
      <c r="Q42" s="2" t="str">
        <f aca="false">IF(O42&lt;M42,"Received BEFORE agreement date",IF(O42&gt;N42,"Late vs due date","On time"))</f>
        <v>Late vs due date</v>
      </c>
    </row>
    <row r="43" customFormat="false" ht="15" hidden="false" customHeight="false" outlineLevel="0" collapsed="false">
      <c r="A43" s="2" t="str">
        <f aca="false">'Franchise Register'!C40</f>
        <v>AGR-039</v>
      </c>
      <c r="B43" s="2" t="str">
        <f aca="false">'Franchise Register'!D40</f>
        <v>Partner 39</v>
      </c>
      <c r="C43" s="12" t="n">
        <f aca="false">'Franchise Register'!H40</f>
        <v>810000000</v>
      </c>
      <c r="D43" s="12" t="n">
        <f aca="false">INDEX('Agreement Details'!$G$2:$G$41,MATCH($A43,'Agreement Details'!$B$2:$B$41,0))</f>
        <v>810000000</v>
      </c>
      <c r="E43" s="2" t="str">
        <f aca="false">INDEX('Incoming Transactions'!$B$2:$B$41,MATCH($A43,'Incoming Transactions'!$I$2:$I$41,0))</f>
        <v>ESM-IN-039</v>
      </c>
      <c r="F43" s="12" t="n">
        <f aca="false">INDEX('Incoming Transactions'!$J$2:$J$41,MATCH($A43,'Incoming Transactions'!$I$2:$I$41,0))</f>
        <v>810000000</v>
      </c>
      <c r="G43" s="2" t="str">
        <f aca="false">INDEX('Incoming Transactions'!$D$2:$D$41,MATCH($A43,'Incoming Transactions'!$I$2:$I$41,0))</f>
        <v>ESM-BX-01</v>
      </c>
      <c r="H43" s="2" t="str">
        <f aca="false">'Franchise Register'!I40</f>
        <v>ESM-BX-01</v>
      </c>
      <c r="I43" s="12" t="n">
        <f aca="false">F43-C43</f>
        <v>0</v>
      </c>
      <c r="J43" s="2" t="str">
        <f aca="false">IF(C43=D43,"OK","DIFF")</f>
        <v>OK</v>
      </c>
      <c r="K43" s="2" t="str">
        <f aca="false">IF(G43=H43,"OK","WRONG ACCOUNT")</f>
        <v>OK</v>
      </c>
      <c r="L43" s="2" t="str">
        <f aca="false">IF(INDEX('Incoming Transactions'!$F$2:$F$41,MATCH($A43,'Incoming Transactions'!$I$2:$I$41,0))=B43,"OK","NAME DIFF")</f>
        <v>OK</v>
      </c>
      <c r="M43" s="14" t="n">
        <f aca="false">DATEVALUE('Franchise Register'!G40)</f>
        <v>45368</v>
      </c>
      <c r="N43" s="14" t="n">
        <f aca="false">DATEVALUE('Franchise Register'!K40)</f>
        <v>45398</v>
      </c>
      <c r="O43" s="14" t="n">
        <f aca="false">DATEVALUE(INDEX('Incoming Transactions'!$C$2:$C$41,MATCH($A43,'Incoming Transactions'!$I$2:$I$41,0)))</f>
        <v>45587</v>
      </c>
      <c r="P43" s="2" t="n">
        <f aca="false">O43-N43</f>
        <v>189</v>
      </c>
      <c r="Q43" s="2" t="str">
        <f aca="false">IF(O43&lt;M43,"Received BEFORE agreement date",IF(O43&gt;N43,"Late vs due date","On time"))</f>
        <v>Late vs due date</v>
      </c>
    </row>
    <row r="44" customFormat="false" ht="15" hidden="false" customHeight="false" outlineLevel="0" collapsed="false">
      <c r="A44" s="2" t="str">
        <f aca="false">'Franchise Register'!C41</f>
        <v>AGR-040</v>
      </c>
      <c r="B44" s="2" t="str">
        <f aca="false">'Franchise Register'!D41</f>
        <v>Partner 40</v>
      </c>
      <c r="C44" s="12" t="n">
        <f aca="false">'Franchise Register'!H41</f>
        <v>720000000</v>
      </c>
      <c r="D44" s="12" t="n">
        <f aca="false">INDEX('Agreement Details'!$G$2:$G$41,MATCH($A44,'Agreement Details'!$B$2:$B$41,0))</f>
        <v>720000000</v>
      </c>
      <c r="E44" s="2" t="str">
        <f aca="false">INDEX('Incoming Transactions'!$B$2:$B$41,MATCH($A44,'Incoming Transactions'!$I$2:$I$41,0))</f>
        <v>ESM-IN-040</v>
      </c>
      <c r="F44" s="12" t="n">
        <f aca="false">INDEX('Incoming Transactions'!$J$2:$J$41,MATCH($A44,'Incoming Transactions'!$I$2:$I$41,0))</f>
        <v>720000000</v>
      </c>
      <c r="G44" s="2" t="str">
        <f aca="false">INDEX('Incoming Transactions'!$D$2:$D$41,MATCH($A44,'Incoming Transactions'!$I$2:$I$41,0))</f>
        <v>ESM-BY-01</v>
      </c>
      <c r="H44" s="2" t="str">
        <f aca="false">'Franchise Register'!I41</f>
        <v>ESM-BY-01</v>
      </c>
      <c r="I44" s="12" t="n">
        <f aca="false">F44-C44</f>
        <v>0</v>
      </c>
      <c r="J44" s="2" t="str">
        <f aca="false">IF(C44=D44,"OK","DIFF")</f>
        <v>OK</v>
      </c>
      <c r="K44" s="2" t="str">
        <f aca="false">IF(G44=H44,"OK","WRONG ACCOUNT")</f>
        <v>OK</v>
      </c>
      <c r="L44" s="2" t="str">
        <f aca="false">IF(INDEX('Incoming Transactions'!$F$2:$F$41,MATCH($A44,'Incoming Transactions'!$I$2:$I$41,0))=B44,"OK","NAME DIFF")</f>
        <v>OK</v>
      </c>
      <c r="M44" s="14" t="n">
        <f aca="false">DATEVALUE('Franchise Register'!G41)</f>
        <v>45402</v>
      </c>
      <c r="N44" s="14" t="n">
        <f aca="false">DATEVALUE('Franchise Register'!K41)</f>
        <v>45432</v>
      </c>
      <c r="O44" s="14" t="n">
        <f aca="false">DATEVALUE(INDEX('Incoming Transactions'!$C$2:$C$41,MATCH($A44,'Incoming Transactions'!$I$2:$I$41,0)))</f>
        <v>45604</v>
      </c>
      <c r="P44" s="2" t="n">
        <f aca="false">O44-N44</f>
        <v>172</v>
      </c>
      <c r="Q44" s="2" t="str">
        <f aca="false">IF(O44&lt;M44,"Received BEFORE agreement date",IF(O44&gt;N44,"Late vs due date","On time"))</f>
        <v>Late vs due date</v>
      </c>
    </row>
    <row r="45" customFormat="false" ht="15" hidden="false" customHeight="false" outlineLevel="0" collapsed="false">
      <c r="A45" s="9" t="s">
        <v>75</v>
      </c>
      <c r="B45" s="2"/>
      <c r="C45" s="15" t="n">
        <f aca="false">SUM(C5:C44)</f>
        <v>26930000000</v>
      </c>
      <c r="D45" s="15" t="n">
        <f aca="false">SUM(D5:D44)</f>
        <v>26930000000</v>
      </c>
      <c r="E45" s="2"/>
      <c r="F45" s="15" t="n">
        <f aca="false">SUM(F5:F44)</f>
        <v>26930000000</v>
      </c>
      <c r="G45" s="2"/>
      <c r="H45" s="2"/>
      <c r="I45" s="15" t="n">
        <f aca="false">SUM(I5:I44)</f>
        <v>0</v>
      </c>
      <c r="J45" s="2"/>
      <c r="K45" s="2"/>
      <c r="L45" s="2"/>
      <c r="M45" s="2"/>
      <c r="N45" s="2"/>
      <c r="O45" s="2"/>
      <c r="P45" s="2"/>
      <c r="Q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" hidden="false" customHeight="false" outlineLevel="0" collapsed="false">
      <c r="A47" s="9" t="s">
        <v>76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" hidden="false" customHeight="false" outlineLevel="0" collapsed="false">
      <c r="A48" s="2" t="s">
        <v>77</v>
      </c>
      <c r="B48" s="2"/>
      <c r="C48" s="2"/>
      <c r="D48" s="2"/>
      <c r="E48" s="2"/>
      <c r="F48" s="2" t="n">
        <f aca="false">COUNTIF(Q5:Q44,"Received BEFORE*")</f>
        <v>21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false" outlineLevel="0" collapsed="false">
      <c r="A49" s="2" t="s">
        <v>78</v>
      </c>
      <c r="B49" s="2"/>
      <c r="C49" s="2"/>
      <c r="D49" s="2"/>
      <c r="E49" s="2"/>
      <c r="F49" s="2" t="n">
        <f aca="false">COUNTIF(Q5:Q44,"Late*")</f>
        <v>16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5" hidden="false" customHeight="false" outlineLevel="0" collapsed="false">
      <c r="A50" s="2" t="s">
        <v>79</v>
      </c>
      <c r="B50" s="2"/>
      <c r="C50" s="2"/>
      <c r="D50" s="2"/>
      <c r="E50" s="2"/>
      <c r="F50" s="2" t="n">
        <f aca="false">COUNTIF(Q5:Q44,"On time")</f>
        <v>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5" hidden="false" customHeight="false" outlineLevel="0" collapsed="false">
      <c r="A51" s="2" t="s">
        <v>80</v>
      </c>
      <c r="B51" s="2"/>
      <c r="C51" s="2"/>
      <c r="D51" s="2"/>
      <c r="E51" s="2"/>
      <c r="F51" s="2" t="n">
        <f aca="false">COUNTIF(I5:I44,"&lt;&gt;0")</f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15" hidden="false" customHeight="false" outlineLevel="0" collapsed="false">
      <c r="A52" s="2" t="s">
        <v>81</v>
      </c>
      <c r="B52" s="2"/>
      <c r="C52" s="2"/>
      <c r="D52" s="2"/>
      <c r="E52" s="2"/>
      <c r="F52" s="2" t="n">
        <f aca="false">COUNTIF(K5:K44,"WRONG*")</f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5" hidden="false" customHeight="false" outlineLevel="0" collapsed="false">
      <c r="A53" s="2" t="s">
        <v>82</v>
      </c>
      <c r="B53" s="2"/>
      <c r="C53" s="2"/>
      <c r="D53" s="2"/>
      <c r="E53" s="2"/>
      <c r="F53" s="2" t="n">
        <f aca="false">MAX(P5:P44)</f>
        <v>223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" hidden="false" customHeight="false" outlineLevel="0" collapsed="false">
      <c r="A54" s="2" t="s">
        <v>83</v>
      </c>
      <c r="B54" s="2"/>
      <c r="C54" s="2"/>
      <c r="D54" s="2"/>
      <c r="E54" s="2"/>
      <c r="F54" s="2" t="n">
        <f aca="false">SUMPRODUCT(MAX(M5:M44-O5:O44))</f>
        <v>299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" hidden="false" customHeight="false" outlineLevel="0" collapsed="false">
      <c r="A56" s="11" t="s">
        <v>84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</sheetData>
  <conditionalFormatting sqref="Q5:Q44">
    <cfRule type="expression" priority="2" aboveAverage="0" equalAverage="0" bottom="0" percent="0" rank="0" text="" dxfId="1">
      <formula>LEFT($Q5,8)="Received"</formula>
    </cfRule>
    <cfRule type="expression" priority="3" aboveAverage="0" equalAverage="0" bottom="0" percent="0" rank="0" text="" dxfId="2">
      <formula>LEFT($Q5,4)="Late"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32"/>
    <col collapsed="false" customWidth="true" hidden="false" outlineLevel="0" max="13" min="10" style="0" width="12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28"/>
    <col collapsed="false" customWidth="true" hidden="false" outlineLevel="0" max="20" min="20" style="0" width="60"/>
    <col collapsed="false" customWidth="true" hidden="false" outlineLevel="0" max="23" min="22" style="0" width="16"/>
  </cols>
  <sheetData>
    <row r="1" customFormat="false" ht="17.35" hidden="false" customHeight="false" outlineLevel="0" collapsed="false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86</v>
      </c>
      <c r="W1" s="16" t="n">
        <v>900000000</v>
      </c>
    </row>
    <row r="2" customFormat="false" ht="15" hidden="false" customHeight="false" outlineLevel="0" collapsed="false">
      <c r="A2" s="3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7" t="s">
        <v>88</v>
      </c>
      <c r="W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35.05" hidden="false" customHeight="fals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  <c r="K4" s="4" t="s">
        <v>99</v>
      </c>
      <c r="L4" s="4" t="s">
        <v>100</v>
      </c>
      <c r="M4" s="4" t="s">
        <v>101</v>
      </c>
      <c r="N4" s="4" t="s">
        <v>102</v>
      </c>
      <c r="O4" s="4" t="s">
        <v>103</v>
      </c>
      <c r="P4" s="4" t="s">
        <v>104</v>
      </c>
      <c r="Q4" s="4" t="s">
        <v>105</v>
      </c>
      <c r="R4" s="4" t="s">
        <v>106</v>
      </c>
      <c r="S4" s="4" t="s">
        <v>107</v>
      </c>
      <c r="T4" s="4" t="s">
        <v>108</v>
      </c>
      <c r="U4" s="2"/>
      <c r="V4" s="2"/>
      <c r="W4" s="2"/>
    </row>
    <row r="5" customFormat="false" ht="15" hidden="false" customHeight="false" outlineLevel="0" collapsed="false">
      <c r="A5" s="2" t="str">
        <f aca="false">'Outgoing Transactions'!B2</f>
        <v>ESM-OUT-001</v>
      </c>
      <c r="B5" s="14" t="n">
        <f aca="false">DATEVALUE('Outgoing Transactions'!C2)</f>
        <v>45021</v>
      </c>
      <c r="C5" s="2" t="str">
        <f aca="false">'Outgoing Transactions'!D2</f>
        <v>ESM-BX-01</v>
      </c>
      <c r="D5" s="2" t="str">
        <f aca="false">'Outgoing Transactions'!F2</f>
        <v>PT Laut Banda Pangan</v>
      </c>
      <c r="E5" s="2" t="str">
        <f aca="false">'Outgoing Transactions'!G2</f>
        <v>VND-BD-01</v>
      </c>
      <c r="F5" s="2" t="str">
        <f aca="false">'Outgoing Transactions'!H2</f>
        <v>Bank Samudra</v>
      </c>
      <c r="G5" s="2" t="str">
        <f aca="false">INDEX('Transaction Evidence'!$B$2:$B$38,MATCH($A5,'Transaction Evidence'!$A$2:$A$38,0))</f>
        <v>CTR-2024-011</v>
      </c>
      <c r="H5" s="12" t="n">
        <f aca="false">INDEX('Transaction Evidence'!$D$2:$D$38,MATCH($A5,'Transaction Evidence'!$A$2:$A$38,0))</f>
        <v>300000000</v>
      </c>
      <c r="I5" s="2" t="str">
        <f aca="false">INDEX('Payment Approval'!$E$2:$E$38,MATCH($G5,'Payment Approval'!$B$2:$B$38,0))</f>
        <v>Raw material procurement</v>
      </c>
      <c r="J5" s="2" t="str">
        <f aca="false">INDEX('Payment Approval'!$F$2:$F$38,MATCH($G5,'Payment Approval'!$B$2:$B$38,0))</f>
        <v>USR-FIN-02</v>
      </c>
      <c r="K5" s="2" t="str">
        <f aca="false">INDEX('Payment Approval'!$G$2:$G$38,MATCH($G5,'Payment Approval'!$B$2:$B$38,0))</f>
        <v>USR-FIN-02</v>
      </c>
      <c r="L5" s="2" t="str">
        <f aca="false">INDEX('Payment Approval'!$H$2:$H$38,MATCH($G5,'Payment Approval'!$B$2:$B$38,0))</f>
        <v>USR-FIN-02</v>
      </c>
      <c r="M5" s="2" t="str">
        <f aca="false">IF(H5=INDEX('Payment Approval'!$C$2:$C$38,MATCH($G5,'Payment Approval'!$B$2:$B$38,0)),"OK","DIFF")</f>
        <v>OK</v>
      </c>
      <c r="N5" s="2" t="str">
        <f aca="false">IF(ISNUMBER(SEARCH("Contract/PO/SPK; Invoice; Work",INDEX('Transaction Evidence'!$E$2:$E$38,MATCH($A5,'Transaction Evidence'!$A$2:$A$38,0)))),"Yes","No")</f>
        <v>Yes</v>
      </c>
      <c r="O5" s="2" t="str">
        <f aca="false">IF(D5="PT Rinjani Niaga Sentosa","Yes","No")</f>
        <v>No</v>
      </c>
      <c r="P5" s="2" t="str">
        <f aca="false">IF(AND(J5=K5,K5=L5),"Yes","No")</f>
        <v>Yes</v>
      </c>
      <c r="Q5" s="2" t="str">
        <f aca="false">IF(H5&gt;=$W$1,"Yes","No")</f>
        <v>No</v>
      </c>
      <c r="R5" s="2" t="str">
        <f aca="false">IF(COUNTIF('Ref - Booklet Data'!$C$14:$C$19,E5)&gt;0,"Registered","Not in extract")</f>
        <v>Registered</v>
      </c>
      <c r="S5" s="2" t="str">
        <f aca="false">IF(AND(O5="Yes",N5="No"),"Suspected fraud",IF(O5="Yes","Unresolved - RNS with contract",IF(N5="Yes","Legitimate (provisional)","Unresolved - partial docs")))</f>
        <v>Legitimate (provisional)</v>
      </c>
      <c r="T5" s="2" t="str">
        <f aca="false">INDEX('Transaction Evidence'!$F$2:$F$38,MATCH($A5,'Transaction Evidence'!$A$2:$A$38,0))</f>
        <v>Contract/PO/SPK, invoice, work/hand-over report, evidence of receipt of goods/services, and Board of Directors approval are on file for this transaction.</v>
      </c>
      <c r="U5" s="2"/>
      <c r="V5" s="2"/>
      <c r="W5" s="2"/>
    </row>
    <row r="6" customFormat="false" ht="15" hidden="false" customHeight="false" outlineLevel="0" collapsed="false">
      <c r="A6" s="2" t="str">
        <f aca="false">'Outgoing Transactions'!B3</f>
        <v>ESM-OUT-002</v>
      </c>
      <c r="B6" s="14" t="n">
        <f aca="false">DATEVALUE('Outgoing Transactions'!C3)</f>
        <v>45034</v>
      </c>
      <c r="C6" s="2" t="str">
        <f aca="false">'Outgoing Transactions'!D3</f>
        <v>ESM-BY-01</v>
      </c>
      <c r="D6" s="2" t="str">
        <f aca="false">'Outgoing Transactions'!F3</f>
        <v>PT Rinjani Niaga Sentosa</v>
      </c>
      <c r="E6" s="2" t="str">
        <f aca="false">'Outgoing Transactions'!G3</f>
        <v>RNS-BR-01</v>
      </c>
      <c r="F6" s="2" t="str">
        <f aca="false">'Outgoing Transactions'!H3</f>
        <v>Bank Rinjani</v>
      </c>
      <c r="G6" s="2" t="str">
        <f aca="false">INDEX('Transaction Evidence'!$B$2:$B$38,MATCH($A6,'Transaction Evidence'!$A$2:$A$38,0))</f>
        <v>REQ-RNS-001</v>
      </c>
      <c r="H6" s="12" t="n">
        <f aca="false">INDEX('Transaction Evidence'!$D$2:$D$38,MATCH($A6,'Transaction Evidence'!$A$2:$A$38,0))</f>
        <v>920000000</v>
      </c>
      <c r="I6" s="2" t="str">
        <f aca="false">INDEX('Payment Approval'!$E$2:$E$38,MATCH($G6,'Payment Approval'!$B$2:$B$38,0))</f>
        <v>Expansion cost adjustment</v>
      </c>
      <c r="J6" s="2" t="str">
        <f aca="false">INDEX('Payment Approval'!$F$2:$F$38,MATCH($G6,'Payment Approval'!$B$2:$B$38,0))</f>
        <v>USR-FIN-02</v>
      </c>
      <c r="K6" s="2" t="str">
        <f aca="false">INDEX('Payment Approval'!$G$2:$G$38,MATCH($G6,'Payment Approval'!$B$2:$B$38,0))</f>
        <v>USR-FIN-02</v>
      </c>
      <c r="L6" s="2" t="str">
        <f aca="false">INDEX('Payment Approval'!$H$2:$H$38,MATCH($G6,'Payment Approval'!$B$2:$B$38,0))</f>
        <v>USR-FIN-02</v>
      </c>
      <c r="M6" s="2" t="str">
        <f aca="false">IF(H6=INDEX('Payment Approval'!$C$2:$C$38,MATCH($G6,'Payment Approval'!$B$2:$B$38,0)),"OK","DIFF")</f>
        <v>OK</v>
      </c>
      <c r="N6" s="2" t="str">
        <f aca="false">IF(ISNUMBER(SEARCH("Contract/PO/SPK; Invoice; Work",INDEX('Transaction Evidence'!$E$2:$E$38,MATCH($A6,'Transaction Evidence'!$A$2:$A$38,0)))),"Yes","No")</f>
        <v>No</v>
      </c>
      <c r="O6" s="2" t="str">
        <f aca="false">IF(D6="PT Rinjani Niaga Sentosa","Yes","No")</f>
        <v>Yes</v>
      </c>
      <c r="P6" s="2" t="str">
        <f aca="false">IF(AND(J6=K6,K6=L6),"Yes","No")</f>
        <v>Yes</v>
      </c>
      <c r="Q6" s="2" t="str">
        <f aca="false">IF(H6&gt;=$W$1,"Yes","No")</f>
        <v>Yes</v>
      </c>
      <c r="R6" s="2" t="str">
        <f aca="false">IF(COUNTIF('Ref - Booklet Data'!$C$14:$C$19,E6)&gt;0,"Registered","Not in extract")</f>
        <v>Registered</v>
      </c>
      <c r="S6" s="2" t="str">
        <f aca="false">IF(AND(O6="Yes",N6="No"),"Suspected fraud",IF(O6="Yes","Unresolved - RNS with contract",IF(N6="Yes","Legitimate (provisional)","Unresolved - partial docs")))</f>
        <v>Suspected fraud</v>
      </c>
      <c r="T6" s="2" t="str">
        <f aca="false">INDEX('Transaction Evidence'!$F$2:$F$38,MATCH($A6,'Transaction Evidence'!$A$2:$A$38,0))</f>
        <v>Only a Payment Request, transfer evidence, and email/internal instructions are on file for this transaction. No contract, PO/SPK, work/delivery report, or evidence of</v>
      </c>
      <c r="U6" s="2"/>
      <c r="V6" s="2"/>
      <c r="W6" s="2"/>
    </row>
    <row r="7" customFormat="false" ht="15" hidden="false" customHeight="false" outlineLevel="0" collapsed="false">
      <c r="A7" s="2" t="str">
        <f aca="false">'Outgoing Transactions'!B4</f>
        <v>ESM-OUT-003</v>
      </c>
      <c r="B7" s="14" t="n">
        <f aca="false">DATEVALUE('Outgoing Transactions'!C4)</f>
        <v>45057</v>
      </c>
      <c r="C7" s="2" t="str">
        <f aca="false">'Outgoing Transactions'!D4</f>
        <v>ESM-BX-01</v>
      </c>
      <c r="D7" s="2" t="str">
        <f aca="false">'Outgoing Transactions'!F4</f>
        <v>PT Rinjani Niaga Sentosa</v>
      </c>
      <c r="E7" s="2" t="str">
        <f aca="false">'Outgoing Transactions'!G4</f>
        <v>RNS-BR-01</v>
      </c>
      <c r="F7" s="2" t="str">
        <f aca="false">'Outgoing Transactions'!H4</f>
        <v>Bank Rinjani</v>
      </c>
      <c r="G7" s="2" t="str">
        <f aca="false">INDEX('Transaction Evidence'!$B$2:$B$38,MATCH($A7,'Transaction Evidence'!$A$2:$A$38,0))</f>
        <v>REQ-RNS-015</v>
      </c>
      <c r="H7" s="12" t="n">
        <f aca="false">INDEX('Transaction Evidence'!$D$2:$D$38,MATCH($A7,'Transaction Evidence'!$A$2:$A$38,0))</f>
        <v>975000000</v>
      </c>
      <c r="I7" s="2" t="str">
        <f aca="false">INDEX('Payment Approval'!$E$2:$E$38,MATCH($G7,'Payment Approval'!$B$2:$B$38,0))</f>
        <v>Project fund adjustment</v>
      </c>
      <c r="J7" s="2" t="str">
        <f aca="false">INDEX('Payment Approval'!$F$2:$F$38,MATCH($G7,'Payment Approval'!$B$2:$B$38,0))</f>
        <v>USR-FIN-02</v>
      </c>
      <c r="K7" s="2" t="str">
        <f aca="false">INDEX('Payment Approval'!$G$2:$G$38,MATCH($G7,'Payment Approval'!$B$2:$B$38,0))</f>
        <v>USR-FIN-02</v>
      </c>
      <c r="L7" s="2" t="str">
        <f aca="false">INDEX('Payment Approval'!$H$2:$H$38,MATCH($G7,'Payment Approval'!$B$2:$B$38,0))</f>
        <v>USR-FIN-02</v>
      </c>
      <c r="M7" s="2" t="str">
        <f aca="false">IF(H7=INDEX('Payment Approval'!$C$2:$C$38,MATCH($G7,'Payment Approval'!$B$2:$B$38,0)),"OK","DIFF")</f>
        <v>OK</v>
      </c>
      <c r="N7" s="2" t="str">
        <f aca="false">IF(ISNUMBER(SEARCH("Contract/PO/SPK; Invoice; Work",INDEX('Transaction Evidence'!$E$2:$E$38,MATCH($A7,'Transaction Evidence'!$A$2:$A$38,0)))),"Yes","No")</f>
        <v>No</v>
      </c>
      <c r="O7" s="2" t="str">
        <f aca="false">IF(D7="PT Rinjani Niaga Sentosa","Yes","No")</f>
        <v>Yes</v>
      </c>
      <c r="P7" s="2" t="str">
        <f aca="false">IF(AND(J7=K7,K7=L7),"Yes","No")</f>
        <v>Yes</v>
      </c>
      <c r="Q7" s="2" t="str">
        <f aca="false">IF(H7&gt;=$W$1,"Yes","No")</f>
        <v>Yes</v>
      </c>
      <c r="R7" s="2" t="str">
        <f aca="false">IF(COUNTIF('Ref - Booklet Data'!$C$14:$C$19,E7)&gt;0,"Registered","Not in extract")</f>
        <v>Registered</v>
      </c>
      <c r="S7" s="2" t="str">
        <f aca="false">IF(AND(O7="Yes",N7="No"),"Suspected fraud",IF(O7="Yes","Unresolved - RNS with contract",IF(N7="Yes","Legitimate (provisional)","Unresolved - partial docs")))</f>
        <v>Suspected fraud</v>
      </c>
      <c r="T7" s="2" t="str">
        <f aca="false">INDEX('Transaction Evidence'!$F$2:$F$38,MATCH($A7,'Transaction Evidence'!$A$2:$A$38,0))</f>
        <v>Only a Payment Request, transfer evidence, and email/internal instructions are on file for this transaction. No contract, PO/SPK, work/delivery report, or evidence of</v>
      </c>
      <c r="U7" s="2"/>
      <c r="V7" s="2"/>
      <c r="W7" s="2"/>
    </row>
    <row r="8" customFormat="false" ht="15" hidden="false" customHeight="false" outlineLevel="0" collapsed="false">
      <c r="A8" s="2" t="str">
        <f aca="false">'Outgoing Transactions'!B5</f>
        <v>ESM-OUT-004</v>
      </c>
      <c r="B8" s="14" t="n">
        <f aca="false">DATEVALUE('Outgoing Transactions'!C5)</f>
        <v>45084</v>
      </c>
      <c r="C8" s="2" t="str">
        <f aca="false">'Outgoing Transactions'!D5</f>
        <v>ESM-BY-01</v>
      </c>
      <c r="D8" s="2" t="str">
        <f aca="false">'Outgoing Transactions'!F5</f>
        <v>PT Laut Natuna Jasa</v>
      </c>
      <c r="E8" s="2" t="str">
        <f aca="false">'Outgoing Transactions'!G5</f>
        <v>VND-JS-02</v>
      </c>
      <c r="F8" s="2" t="str">
        <f aca="false">'Outgoing Transactions'!H5</f>
        <v>Bank Nusantara</v>
      </c>
      <c r="G8" s="2" t="str">
        <f aca="false">INDEX('Transaction Evidence'!$B$2:$B$38,MATCH($A8,'Transaction Evidence'!$A$2:$A$38,0))</f>
        <v>CTR-2024-057</v>
      </c>
      <c r="H8" s="12" t="n">
        <f aca="false">INDEX('Transaction Evidence'!$D$2:$D$38,MATCH($A8,'Transaction Evidence'!$A$2:$A$38,0))</f>
        <v>50000000</v>
      </c>
      <c r="I8" s="2" t="str">
        <f aca="false">INDEX('Payment Approval'!$E$2:$E$38,MATCH($G8,'Payment Approval'!$B$2:$B$38,0))</f>
        <v>Operational support</v>
      </c>
      <c r="J8" s="2" t="str">
        <f aca="false">INDEX('Payment Approval'!$F$2:$F$38,MATCH($G8,'Payment Approval'!$B$2:$B$38,0))</f>
        <v>USR-FIN-01</v>
      </c>
      <c r="K8" s="2" t="str">
        <f aca="false">INDEX('Payment Approval'!$G$2:$G$38,MATCH($G8,'Payment Approval'!$B$2:$B$38,0))</f>
        <v>USR-FIN-02</v>
      </c>
      <c r="L8" s="2" t="str">
        <f aca="false">INDEX('Payment Approval'!$H$2:$H$38,MATCH($G8,'Payment Approval'!$B$2:$B$38,0))</f>
        <v>USR-FIN-02</v>
      </c>
      <c r="M8" s="2" t="str">
        <f aca="false">IF(H8=INDEX('Payment Approval'!$C$2:$C$38,MATCH($G8,'Payment Approval'!$B$2:$B$38,0)),"OK","DIFF")</f>
        <v>OK</v>
      </c>
      <c r="N8" s="2" t="str">
        <f aca="false">IF(ISNUMBER(SEARCH("Contract/PO/SPK; Invoice; Work",INDEX('Transaction Evidence'!$E$2:$E$38,MATCH($A8,'Transaction Evidence'!$A$2:$A$38,0)))),"Yes","No")</f>
        <v>Yes</v>
      </c>
      <c r="O8" s="2" t="str">
        <f aca="false">IF(D8="PT Rinjani Niaga Sentosa","Yes","No")</f>
        <v>No</v>
      </c>
      <c r="P8" s="2" t="str">
        <f aca="false">IF(AND(J8=K8,K8=L8),"Yes","No")</f>
        <v>No</v>
      </c>
      <c r="Q8" s="2" t="str">
        <f aca="false">IF(H8&gt;=$W$1,"Yes","No")</f>
        <v>No</v>
      </c>
      <c r="R8" s="2" t="str">
        <f aca="false">IF(COUNTIF('Ref - Booklet Data'!$C$14:$C$19,E8)&gt;0,"Registered","Not in extract")</f>
        <v>Not in extract</v>
      </c>
      <c r="S8" s="2" t="str">
        <f aca="false">IF(AND(O8="Yes",N8="No"),"Suspected fraud",IF(O8="Yes","Unresolved - RNS with contract",IF(N8="Yes","Legitimate (provisional)","Unresolved - partial docs")))</f>
        <v>Legitimate (provisional)</v>
      </c>
      <c r="T8" s="2" t="str">
        <f aca="false">INDEX('Transaction Evidence'!$F$2:$F$38,MATCH($A8,'Transaction Evidence'!$A$2:$A$38,0))</f>
        <v>Contract/PO/SPK, invoice, work/hand-over report, evidence of receipt of goods/services, and Board of Directors approval are on file for this transaction.</v>
      </c>
      <c r="U8" s="2"/>
      <c r="V8" s="2"/>
      <c r="W8" s="2"/>
    </row>
    <row r="9" customFormat="false" ht="15" hidden="false" customHeight="false" outlineLevel="0" collapsed="false">
      <c r="A9" s="2" t="str">
        <f aca="false">'Outgoing Transactions'!B6</f>
        <v>ESM-OUT-005</v>
      </c>
      <c r="B9" s="14" t="n">
        <f aca="false">DATEVALUE('Outgoing Transactions'!C6)</f>
        <v>45106</v>
      </c>
      <c r="C9" s="2" t="str">
        <f aca="false">'Outgoing Transactions'!D6</f>
        <v>ESM-BX-01</v>
      </c>
      <c r="D9" s="2" t="str">
        <f aca="false">'Outgoing Transactions'!F6</f>
        <v>PT Laut Seram Konsultan</v>
      </c>
      <c r="E9" s="2" t="str">
        <f aca="false">'Outgoing Transactions'!G6</f>
        <v>VND-KS-01</v>
      </c>
      <c r="F9" s="2" t="str">
        <f aca="false">'Outgoing Transactions'!H6</f>
        <v>Bank Cakra</v>
      </c>
      <c r="G9" s="2" t="str">
        <f aca="false">INDEX('Transaction Evidence'!$B$2:$B$38,MATCH($A9,'Transaction Evidence'!$A$2:$A$38,0))</f>
        <v>INV-LS-2404A</v>
      </c>
      <c r="H9" s="12" t="n">
        <f aca="false">INDEX('Transaction Evidence'!$D$2:$D$38,MATCH($A9,'Transaction Evidence'!$A$2:$A$38,0))</f>
        <v>450000000</v>
      </c>
      <c r="I9" s="2" t="str">
        <f aca="false">INDEX('Payment Approval'!$E$2:$E$38,MATCH($G9,'Payment Approval'!$B$2:$B$38,0))</f>
        <v>Development consulting services</v>
      </c>
      <c r="J9" s="2" t="str">
        <f aca="false">INDEX('Payment Approval'!$F$2:$F$38,MATCH($G9,'Payment Approval'!$B$2:$B$38,0))</f>
        <v>USR-FIN-02</v>
      </c>
      <c r="K9" s="2" t="str">
        <f aca="false">INDEX('Payment Approval'!$G$2:$G$38,MATCH($G9,'Payment Approval'!$B$2:$B$38,0))</f>
        <v>USR-FIN-02</v>
      </c>
      <c r="L9" s="2" t="str">
        <f aca="false">INDEX('Payment Approval'!$H$2:$H$38,MATCH($G9,'Payment Approval'!$B$2:$B$38,0))</f>
        <v>USR-FIN-02</v>
      </c>
      <c r="M9" s="2" t="str">
        <f aca="false">IF(H9=INDEX('Payment Approval'!$C$2:$C$38,MATCH($G9,'Payment Approval'!$B$2:$B$38,0)),"OK","DIFF")</f>
        <v>OK</v>
      </c>
      <c r="N9" s="2" t="str">
        <f aca="false">IF(ISNUMBER(SEARCH("Contract/PO/SPK; Invoice; Work",INDEX('Transaction Evidence'!$E$2:$E$38,MATCH($A9,'Transaction Evidence'!$A$2:$A$38,0)))),"Yes","No")</f>
        <v>No</v>
      </c>
      <c r="O9" s="2" t="str">
        <f aca="false">IF(D9="PT Rinjani Niaga Sentosa","Yes","No")</f>
        <v>No</v>
      </c>
      <c r="P9" s="2" t="str">
        <f aca="false">IF(AND(J9=K9,K9=L9),"Yes","No")</f>
        <v>Yes</v>
      </c>
      <c r="Q9" s="2" t="str">
        <f aca="false">IF(H9&gt;=$W$1,"Yes","No")</f>
        <v>No</v>
      </c>
      <c r="R9" s="2" t="str">
        <f aca="false">IF(COUNTIF('Ref - Booklet Data'!$C$14:$C$19,E9)&gt;0,"Registered","Not in extract")</f>
        <v>Not in extract</v>
      </c>
      <c r="S9" s="2" t="str">
        <f aca="false">IF(AND(O9="Yes",N9="No"),"Suspected fraud",IF(O9="Yes","Unresolved - RNS with contract",IF(N9="Yes","Legitimate (provisional)","Unresolved - partial docs")))</f>
        <v>Unresolved - partial docs</v>
      </c>
      <c r="T9" s="2" t="str">
        <f aca="false">INDEX('Transaction Evidence'!$F$2:$F$38,MATCH($A9,'Transaction Evidence'!$A$2:$A$38,0))</f>
        <v>Only an invoice is on file for this transaction. No contract/SPK, work report, or evidence of receipt of services was located.</v>
      </c>
      <c r="U9" s="2"/>
      <c r="V9" s="2"/>
      <c r="W9" s="2"/>
    </row>
    <row r="10" customFormat="false" ht="15" hidden="false" customHeight="false" outlineLevel="0" collapsed="false">
      <c r="A10" s="2" t="str">
        <f aca="false">'Outgoing Transactions'!B7</f>
        <v>ESM-OUT-006</v>
      </c>
      <c r="B10" s="14" t="n">
        <f aca="false">DATEVALUE('Outgoing Transactions'!C7)</f>
        <v>45106</v>
      </c>
      <c r="C10" s="2" t="str">
        <f aca="false">'Outgoing Transactions'!D7</f>
        <v>ESM-BY-01</v>
      </c>
      <c r="D10" s="2" t="str">
        <f aca="false">'Outgoing Transactions'!F7</f>
        <v>PT Rinjani Niaga Sentosa</v>
      </c>
      <c r="E10" s="2" t="str">
        <f aca="false">'Outgoing Transactions'!G7</f>
        <v>RNS-BR-01</v>
      </c>
      <c r="F10" s="2" t="str">
        <f aca="false">'Outgoing Transactions'!H7</f>
        <v>Bank Rinjani</v>
      </c>
      <c r="G10" s="2" t="str">
        <f aca="false">INDEX('Transaction Evidence'!$B$2:$B$38,MATCH($A10,'Transaction Evidence'!$A$2:$A$38,0))</f>
        <v>REQ-RNS-007</v>
      </c>
      <c r="H10" s="12" t="n">
        <f aca="false">INDEX('Transaction Evidence'!$D$2:$D$38,MATCH($A10,'Transaction Evidence'!$A$2:$A$38,0))</f>
        <v>900000000</v>
      </c>
      <c r="I10" s="2" t="str">
        <f aca="false">INDEX('Payment Approval'!$E$2:$E$38,MATCH($G10,'Payment Approval'!$B$2:$B$38,0))</f>
        <v>Expansion needs management</v>
      </c>
      <c r="J10" s="2" t="str">
        <f aca="false">INDEX('Payment Approval'!$F$2:$F$38,MATCH($G10,'Payment Approval'!$B$2:$B$38,0))</f>
        <v>USR-FIN-02</v>
      </c>
      <c r="K10" s="2" t="str">
        <f aca="false">INDEX('Payment Approval'!$G$2:$G$38,MATCH($G10,'Payment Approval'!$B$2:$B$38,0))</f>
        <v>USR-FIN-02</v>
      </c>
      <c r="L10" s="2" t="str">
        <f aca="false">INDEX('Payment Approval'!$H$2:$H$38,MATCH($G10,'Payment Approval'!$B$2:$B$38,0))</f>
        <v>USR-FIN-02</v>
      </c>
      <c r="M10" s="2" t="str">
        <f aca="false">IF(H10=INDEX('Payment Approval'!$C$2:$C$38,MATCH($G10,'Payment Approval'!$B$2:$B$38,0)),"OK","DIFF")</f>
        <v>OK</v>
      </c>
      <c r="N10" s="2" t="str">
        <f aca="false">IF(ISNUMBER(SEARCH("Contract/PO/SPK; Invoice; Work",INDEX('Transaction Evidence'!$E$2:$E$38,MATCH($A10,'Transaction Evidence'!$A$2:$A$38,0)))),"Yes","No")</f>
        <v>No</v>
      </c>
      <c r="O10" s="2" t="str">
        <f aca="false">IF(D10="PT Rinjani Niaga Sentosa","Yes","No")</f>
        <v>Yes</v>
      </c>
      <c r="P10" s="2" t="str">
        <f aca="false">IF(AND(J10=K10,K10=L10),"Yes","No")</f>
        <v>Yes</v>
      </c>
      <c r="Q10" s="2" t="str">
        <f aca="false">IF(H10&gt;=$W$1,"Yes","No")</f>
        <v>Yes</v>
      </c>
      <c r="R10" s="2" t="str">
        <f aca="false">IF(COUNTIF('Ref - Booklet Data'!$C$14:$C$19,E10)&gt;0,"Registered","Not in extract")</f>
        <v>Registered</v>
      </c>
      <c r="S10" s="2" t="str">
        <f aca="false">IF(AND(O10="Yes",N10="No"),"Suspected fraud",IF(O10="Yes","Unresolved - RNS with contract",IF(N10="Yes","Legitimate (provisional)","Unresolved - partial docs")))</f>
        <v>Suspected fraud</v>
      </c>
      <c r="T10" s="2" t="str">
        <f aca="false">INDEX('Transaction Evidence'!$F$2:$F$38,MATCH($A10,'Transaction Evidence'!$A$2:$A$38,0))</f>
        <v>Only a Payment Request, transfer evidence, and email/internal instructions are on file for this transaction. No contract, PO/SPK, work/delivery report, or evidence of</v>
      </c>
      <c r="U10" s="2"/>
      <c r="V10" s="2"/>
      <c r="W10" s="2"/>
    </row>
    <row r="11" customFormat="false" ht="15" hidden="false" customHeight="false" outlineLevel="0" collapsed="false">
      <c r="A11" s="2" t="str">
        <f aca="false">'Outgoing Transactions'!B8</f>
        <v>ESM-OUT-007</v>
      </c>
      <c r="B11" s="14" t="n">
        <f aca="false">DATEVALUE('Outgoing Transactions'!C8)</f>
        <v>45119</v>
      </c>
      <c r="C11" s="2" t="str">
        <f aca="false">'Outgoing Transactions'!D8</f>
        <v>ESM-BX-01</v>
      </c>
      <c r="D11" s="2" t="str">
        <f aca="false">'Outgoing Transactions'!F8</f>
        <v>PT Rinjani Niaga Sentosa</v>
      </c>
      <c r="E11" s="2" t="str">
        <f aca="false">'Outgoing Transactions'!G8</f>
        <v>RNS-BR-01</v>
      </c>
      <c r="F11" s="2" t="str">
        <f aca="false">'Outgoing Transactions'!H8</f>
        <v>Bank Rinjani</v>
      </c>
      <c r="G11" s="2" t="str">
        <f aca="false">INDEX('Transaction Evidence'!$B$2:$B$38,MATCH($A11,'Transaction Evidence'!$A$2:$A$38,0))</f>
        <v>REQ-RNS-011</v>
      </c>
      <c r="H11" s="12" t="n">
        <f aca="false">INDEX('Transaction Evidence'!$D$2:$D$38,MATCH($A11,'Transaction Evidence'!$A$2:$A$38,0))</f>
        <v>850000000</v>
      </c>
      <c r="I11" s="2" t="str">
        <f aca="false">INDEX('Payment Approval'!$E$2:$E$38,MATCH($G11,'Payment Approval'!$B$2:$B$38,0))</f>
        <v>Expansion cost reimbursement</v>
      </c>
      <c r="J11" s="2" t="str">
        <f aca="false">INDEX('Payment Approval'!$F$2:$F$38,MATCH($G11,'Payment Approval'!$B$2:$B$38,0))</f>
        <v>USR-FIN-02</v>
      </c>
      <c r="K11" s="2" t="str">
        <f aca="false">INDEX('Payment Approval'!$G$2:$G$38,MATCH($G11,'Payment Approval'!$B$2:$B$38,0))</f>
        <v>USR-FIN-02</v>
      </c>
      <c r="L11" s="2" t="str">
        <f aca="false">INDEX('Payment Approval'!$H$2:$H$38,MATCH($G11,'Payment Approval'!$B$2:$B$38,0))</f>
        <v>USR-FIN-02</v>
      </c>
      <c r="M11" s="2" t="str">
        <f aca="false">IF(H11=INDEX('Payment Approval'!$C$2:$C$38,MATCH($G11,'Payment Approval'!$B$2:$B$38,0)),"OK","DIFF")</f>
        <v>OK</v>
      </c>
      <c r="N11" s="2" t="str">
        <f aca="false">IF(ISNUMBER(SEARCH("Contract/PO/SPK; Invoice; Work",INDEX('Transaction Evidence'!$E$2:$E$38,MATCH($A11,'Transaction Evidence'!$A$2:$A$38,0)))),"Yes","No")</f>
        <v>No</v>
      </c>
      <c r="O11" s="2" t="str">
        <f aca="false">IF(D11="PT Rinjani Niaga Sentosa","Yes","No")</f>
        <v>Yes</v>
      </c>
      <c r="P11" s="2" t="str">
        <f aca="false">IF(AND(J11=K11,K11=L11),"Yes","No")</f>
        <v>Yes</v>
      </c>
      <c r="Q11" s="2" t="str">
        <f aca="false">IF(H11&gt;=$W$1,"Yes","No")</f>
        <v>No</v>
      </c>
      <c r="R11" s="2" t="str">
        <f aca="false">IF(COUNTIF('Ref - Booklet Data'!$C$14:$C$19,E11)&gt;0,"Registered","Not in extract")</f>
        <v>Registered</v>
      </c>
      <c r="S11" s="2" t="str">
        <f aca="false">IF(AND(O11="Yes",N11="No"),"Suspected fraud",IF(O11="Yes","Unresolved - RNS with contract",IF(N11="Yes","Legitimate (provisional)","Unresolved - partial docs")))</f>
        <v>Suspected fraud</v>
      </c>
      <c r="T11" s="2" t="str">
        <f aca="false">INDEX('Transaction Evidence'!$F$2:$F$38,MATCH($A11,'Transaction Evidence'!$A$2:$A$38,0))</f>
        <v>Only a Payment Request, transfer evidence, and email/internal instructions are on file for this transaction. No contract, PO/SPK, work/delivery report, or evidence of</v>
      </c>
      <c r="U11" s="2"/>
      <c r="V11" s="2"/>
      <c r="W11" s="2"/>
    </row>
    <row r="12" customFormat="false" ht="15" hidden="false" customHeight="false" outlineLevel="0" collapsed="false">
      <c r="A12" s="2" t="str">
        <f aca="false">'Outgoing Transactions'!B9</f>
        <v>ESM-OUT-008</v>
      </c>
      <c r="B12" s="14" t="n">
        <f aca="false">DATEVALUE('Outgoing Transactions'!C9)</f>
        <v>45153</v>
      </c>
      <c r="C12" s="2" t="str">
        <f aca="false">'Outgoing Transactions'!D9</f>
        <v>ESM-BY-01</v>
      </c>
      <c r="D12" s="2" t="str">
        <f aca="false">'Outgoing Transactions'!F9</f>
        <v>PT Laut Banda Pangan</v>
      </c>
      <c r="E12" s="2" t="str">
        <f aca="false">'Outgoing Transactions'!G9</f>
        <v>VND-BD-03</v>
      </c>
      <c r="F12" s="2" t="str">
        <f aca="false">'Outgoing Transactions'!H9</f>
        <v>Bank Cakra</v>
      </c>
      <c r="G12" s="2" t="str">
        <f aca="false">INDEX('Transaction Evidence'!$B$2:$B$38,MATCH($A12,'Transaction Evidence'!$A$2:$A$38,0))</f>
        <v>REQ-ESM-014A</v>
      </c>
      <c r="H12" s="12" t="n">
        <f aca="false">INDEX('Transaction Evidence'!$D$2:$D$38,MATCH($A12,'Transaction Evidence'!$A$2:$A$38,0))</f>
        <v>300000000</v>
      </c>
      <c r="I12" s="2" t="str">
        <f aca="false">INDEX('Payment Approval'!$E$2:$E$38,MATCH($G12,'Payment Approval'!$B$2:$B$38,0))</f>
        <v>Operational outgoing</v>
      </c>
      <c r="J12" s="2" t="str">
        <f aca="false">INDEX('Payment Approval'!$F$2:$F$38,MATCH($G12,'Payment Approval'!$B$2:$B$38,0))</f>
        <v>USR-FIN-02</v>
      </c>
      <c r="K12" s="2" t="str">
        <f aca="false">INDEX('Payment Approval'!$G$2:$G$38,MATCH($G12,'Payment Approval'!$B$2:$B$38,0))</f>
        <v>USR-FIN-02</v>
      </c>
      <c r="L12" s="2" t="str">
        <f aca="false">INDEX('Payment Approval'!$H$2:$H$38,MATCH($G12,'Payment Approval'!$B$2:$B$38,0))</f>
        <v>USR-FIN-02</v>
      </c>
      <c r="M12" s="2" t="str">
        <f aca="false">IF(H12=INDEX('Payment Approval'!$C$2:$C$38,MATCH($G12,'Payment Approval'!$B$2:$B$38,0)),"OK","DIFF")</f>
        <v>OK</v>
      </c>
      <c r="N12" s="2" t="str">
        <f aca="false">IF(ISNUMBER(SEARCH("Contract/PO/SPK; Invoice; Work",INDEX('Transaction Evidence'!$E$2:$E$38,MATCH($A12,'Transaction Evidence'!$A$2:$A$38,0)))),"Yes","No")</f>
        <v>No</v>
      </c>
      <c r="O12" s="2" t="str">
        <f aca="false">IF(D12="PT Rinjani Niaga Sentosa","Yes","No")</f>
        <v>No</v>
      </c>
      <c r="P12" s="2" t="str">
        <f aca="false">IF(AND(J12=K12,K12=L12),"Yes","No")</f>
        <v>Yes</v>
      </c>
      <c r="Q12" s="2" t="str">
        <f aca="false">IF(H12&gt;=$W$1,"Yes","No")</f>
        <v>No</v>
      </c>
      <c r="R12" s="2" t="str">
        <f aca="false">IF(COUNTIF('Ref - Booklet Data'!$C$14:$C$19,E12)&gt;0,"Registered","Not in extract")</f>
        <v>Not in extract</v>
      </c>
      <c r="S12" s="2" t="str">
        <f aca="false">IF(AND(O12="Yes",N12="No"),"Suspected fraud",IF(O12="Yes","Unresolved - RNS with contract",IF(N12="Yes","Legitimate (provisional)","Unresolved - partial docs")))</f>
        <v>Unresolved - partial docs</v>
      </c>
      <c r="T12" s="2" t="str">
        <f aca="false">INDEX('Transaction Evidence'!$F$2:$F$38,MATCH($A12,'Transaction Evidence'!$A$2:$A$38,0))</f>
        <v>Only a payment request and email instruction are on file for this transaction. No invoice or evidence of receipt of benefits was located.</v>
      </c>
      <c r="U12" s="2"/>
      <c r="V12" s="2"/>
      <c r="W12" s="2"/>
    </row>
    <row r="13" customFormat="false" ht="15" hidden="false" customHeight="false" outlineLevel="0" collapsed="false">
      <c r="A13" s="2" t="str">
        <f aca="false">'Outgoing Transactions'!B10</f>
        <v>ESM-OUT-009</v>
      </c>
      <c r="B13" s="14" t="n">
        <f aca="false">DATEVALUE('Outgoing Transactions'!C10)</f>
        <v>45162</v>
      </c>
      <c r="C13" s="2" t="str">
        <f aca="false">'Outgoing Transactions'!D10</f>
        <v>ESM-BX-01</v>
      </c>
      <c r="D13" s="2" t="str">
        <f aca="false">'Outgoing Transactions'!F10</f>
        <v>PT Rinjani Niaga Sentosa</v>
      </c>
      <c r="E13" s="2" t="str">
        <f aca="false">'Outgoing Transactions'!G10</f>
        <v>RNS-BR-01</v>
      </c>
      <c r="F13" s="2" t="str">
        <f aca="false">'Outgoing Transactions'!H10</f>
        <v>Bank Rinjani</v>
      </c>
      <c r="G13" s="2" t="str">
        <f aca="false">INDEX('Transaction Evidence'!$B$2:$B$38,MATCH($A13,'Transaction Evidence'!$A$2:$A$38,0))</f>
        <v>REQ-RNS-003</v>
      </c>
      <c r="H13" s="12" t="n">
        <f aca="false">INDEX('Transaction Evidence'!$D$2:$D$38,MATCH($A13,'Transaction Evidence'!$A$2:$A$38,0))</f>
        <v>950000000</v>
      </c>
      <c r="I13" s="2" t="str">
        <f aca="false">INDEX('Payment Approval'!$E$2:$E$38,MATCH($G13,'Payment Approval'!$B$2:$B$38,0))</f>
        <v>Outlet needs payment</v>
      </c>
      <c r="J13" s="2" t="str">
        <f aca="false">INDEX('Payment Approval'!$F$2:$F$38,MATCH($G13,'Payment Approval'!$B$2:$B$38,0))</f>
        <v>USR-FIN-02</v>
      </c>
      <c r="K13" s="2" t="str">
        <f aca="false">INDEX('Payment Approval'!$G$2:$G$38,MATCH($G13,'Payment Approval'!$B$2:$B$38,0))</f>
        <v>USR-FIN-02</v>
      </c>
      <c r="L13" s="2" t="str">
        <f aca="false">INDEX('Payment Approval'!$H$2:$H$38,MATCH($G13,'Payment Approval'!$B$2:$B$38,0))</f>
        <v>USR-FIN-02</v>
      </c>
      <c r="M13" s="2" t="str">
        <f aca="false">IF(H13=INDEX('Payment Approval'!$C$2:$C$38,MATCH($G13,'Payment Approval'!$B$2:$B$38,0)),"OK","DIFF")</f>
        <v>OK</v>
      </c>
      <c r="N13" s="2" t="str">
        <f aca="false">IF(ISNUMBER(SEARCH("Contract/PO/SPK; Invoice; Work",INDEX('Transaction Evidence'!$E$2:$E$38,MATCH($A13,'Transaction Evidence'!$A$2:$A$38,0)))),"Yes","No")</f>
        <v>No</v>
      </c>
      <c r="O13" s="2" t="str">
        <f aca="false">IF(D13="PT Rinjani Niaga Sentosa","Yes","No")</f>
        <v>Yes</v>
      </c>
      <c r="P13" s="2" t="str">
        <f aca="false">IF(AND(J13=K13,K13=L13),"Yes","No")</f>
        <v>Yes</v>
      </c>
      <c r="Q13" s="2" t="str">
        <f aca="false">IF(H13&gt;=$W$1,"Yes","No")</f>
        <v>Yes</v>
      </c>
      <c r="R13" s="2" t="str">
        <f aca="false">IF(COUNTIF('Ref - Booklet Data'!$C$14:$C$19,E13)&gt;0,"Registered","Not in extract")</f>
        <v>Registered</v>
      </c>
      <c r="S13" s="2" t="str">
        <f aca="false">IF(AND(O13="Yes",N13="No"),"Suspected fraud",IF(O13="Yes","Unresolved - RNS with contract",IF(N13="Yes","Legitimate (provisional)","Unresolved - partial docs")))</f>
        <v>Suspected fraud</v>
      </c>
      <c r="T13" s="2" t="str">
        <f aca="false">INDEX('Transaction Evidence'!$F$2:$F$38,MATCH($A13,'Transaction Evidence'!$A$2:$A$38,0))</f>
        <v>Only a Payment Request, transfer evidence, and email/internal instructions are on file for this transaction. No contract, PO/SPK, work/delivery report, or evidence of</v>
      </c>
      <c r="U13" s="2"/>
      <c r="V13" s="2"/>
      <c r="W13" s="2"/>
    </row>
    <row r="14" customFormat="false" ht="15" hidden="false" customHeight="false" outlineLevel="0" collapsed="false">
      <c r="A14" s="2" t="str">
        <f aca="false">'Outgoing Transactions'!B11</f>
        <v>ESM-OUT-010</v>
      </c>
      <c r="B14" s="14" t="n">
        <f aca="false">DATEVALUE('Outgoing Transactions'!C11)</f>
        <v>45183</v>
      </c>
      <c r="C14" s="2" t="str">
        <f aca="false">'Outgoing Transactions'!D11</f>
        <v>ESM-BY-01</v>
      </c>
      <c r="D14" s="2" t="str">
        <f aca="false">'Outgoing Transactions'!F11</f>
        <v>PT Laut Seram Konsultan</v>
      </c>
      <c r="E14" s="2" t="str">
        <f aca="false">'Outgoing Transactions'!G11</f>
        <v>VND-KS-02</v>
      </c>
      <c r="F14" s="2" t="str">
        <f aca="false">'Outgoing Transactions'!H11</f>
        <v>Bank Samudra</v>
      </c>
      <c r="G14" s="2" t="str">
        <f aca="false">INDEX('Transaction Evidence'!$B$2:$B$38,MATCH($A14,'Transaction Evidence'!$A$2:$A$38,0))</f>
        <v>CTR-2024-046</v>
      </c>
      <c r="H14" s="12" t="n">
        <f aca="false">INDEX('Transaction Evidence'!$D$2:$D$38,MATCH($A14,'Transaction Evidence'!$A$2:$A$38,0))</f>
        <v>200000000</v>
      </c>
      <c r="I14" s="2" t="str">
        <f aca="false">INDEX('Payment Approval'!$E$2:$E$38,MATCH($G14,'Payment Approval'!$B$2:$B$38,0))</f>
        <v>Consulting services</v>
      </c>
      <c r="J14" s="2" t="str">
        <f aca="false">INDEX('Payment Approval'!$F$2:$F$38,MATCH($G14,'Payment Approval'!$B$2:$B$38,0))</f>
        <v>USR-FIN-01</v>
      </c>
      <c r="K14" s="2" t="str">
        <f aca="false">INDEX('Payment Approval'!$G$2:$G$38,MATCH($G14,'Payment Approval'!$B$2:$B$38,0))</f>
        <v>USR-FIN-02</v>
      </c>
      <c r="L14" s="2" t="str">
        <f aca="false">INDEX('Payment Approval'!$H$2:$H$38,MATCH($G14,'Payment Approval'!$B$2:$B$38,0))</f>
        <v>USR-FIN-02</v>
      </c>
      <c r="M14" s="2" t="str">
        <f aca="false">IF(H14=INDEX('Payment Approval'!$C$2:$C$38,MATCH($G14,'Payment Approval'!$B$2:$B$38,0)),"OK","DIFF")</f>
        <v>OK</v>
      </c>
      <c r="N14" s="2" t="str">
        <f aca="false">IF(ISNUMBER(SEARCH("Contract/PO/SPK; Invoice; Work",INDEX('Transaction Evidence'!$E$2:$E$38,MATCH($A14,'Transaction Evidence'!$A$2:$A$38,0)))),"Yes","No")</f>
        <v>Yes</v>
      </c>
      <c r="O14" s="2" t="str">
        <f aca="false">IF(D14="PT Rinjani Niaga Sentosa","Yes","No")</f>
        <v>No</v>
      </c>
      <c r="P14" s="2" t="str">
        <f aca="false">IF(AND(J14=K14,K14=L14),"Yes","No")</f>
        <v>No</v>
      </c>
      <c r="Q14" s="2" t="str">
        <f aca="false">IF(H14&gt;=$W$1,"Yes","No")</f>
        <v>No</v>
      </c>
      <c r="R14" s="2" t="str">
        <f aca="false">IF(COUNTIF('Ref - Booklet Data'!$C$14:$C$19,E14)&gt;0,"Registered","Not in extract")</f>
        <v>Not in extract</v>
      </c>
      <c r="S14" s="2" t="str">
        <f aca="false">IF(AND(O14="Yes",N14="No"),"Suspected fraud",IF(O14="Yes","Unresolved - RNS with contract",IF(N14="Yes","Legitimate (provisional)","Unresolved - partial docs")))</f>
        <v>Legitimate (provisional)</v>
      </c>
      <c r="T14" s="2" t="str">
        <f aca="false">INDEX('Transaction Evidence'!$F$2:$F$38,MATCH($A14,'Transaction Evidence'!$A$2:$A$38,0))</f>
        <v>Contract/PO/SPK, invoice, work/hand-over report, evidence of receipt of goods/services, and Board of Directors approval are on file for this transaction.</v>
      </c>
      <c r="U14" s="2"/>
      <c r="V14" s="2"/>
      <c r="W14" s="2"/>
    </row>
    <row r="15" customFormat="false" ht="15" hidden="false" customHeight="false" outlineLevel="0" collapsed="false">
      <c r="A15" s="2" t="str">
        <f aca="false">'Outgoing Transactions'!B12</f>
        <v>ESM-OUT-011</v>
      </c>
      <c r="B15" s="14" t="n">
        <f aca="false">DATEVALUE('Outgoing Transactions'!C12)</f>
        <v>45188</v>
      </c>
      <c r="C15" s="2" t="str">
        <f aca="false">'Outgoing Transactions'!D12</f>
        <v>ESM-BX-01</v>
      </c>
      <c r="D15" s="2" t="str">
        <f aca="false">'Outgoing Transactions'!F12</f>
        <v>PT Laut Arafura Media</v>
      </c>
      <c r="E15" s="2" t="str">
        <f aca="false">'Outgoing Transactions'!G12</f>
        <v>VND-MD-02</v>
      </c>
      <c r="F15" s="2" t="str">
        <f aca="false">'Outgoing Transactions'!H12</f>
        <v>Bank Cakra</v>
      </c>
      <c r="G15" s="2" t="str">
        <f aca="false">INDEX('Transaction Evidence'!$B$2:$B$38,MATCH($A15,'Transaction Evidence'!$A$2:$A$38,0))</f>
        <v>REQ-MKT-0919</v>
      </c>
      <c r="H15" s="12" t="n">
        <f aca="false">INDEX('Transaction Evidence'!$D$2:$D$38,MATCH($A15,'Transaction Evidence'!$A$2:$A$38,0))</f>
        <v>350000000</v>
      </c>
      <c r="I15" s="2" t="str">
        <f aca="false">INDEX('Payment Approval'!$E$2:$E$38,MATCH($G15,'Payment Approval'!$B$2:$B$38,0))</f>
        <v>Media and promotional services</v>
      </c>
      <c r="J15" s="2" t="str">
        <f aca="false">INDEX('Payment Approval'!$F$2:$F$38,MATCH($G15,'Payment Approval'!$B$2:$B$38,0))</f>
        <v>USR-FIN-02</v>
      </c>
      <c r="K15" s="2" t="str">
        <f aca="false">INDEX('Payment Approval'!$G$2:$G$38,MATCH($G15,'Payment Approval'!$B$2:$B$38,0))</f>
        <v>USR-FIN-02</v>
      </c>
      <c r="L15" s="2" t="str">
        <f aca="false">INDEX('Payment Approval'!$H$2:$H$38,MATCH($G15,'Payment Approval'!$B$2:$B$38,0))</f>
        <v>USR-FIN-02</v>
      </c>
      <c r="M15" s="2" t="str">
        <f aca="false">IF(H15=INDEX('Payment Approval'!$C$2:$C$38,MATCH($G15,'Payment Approval'!$B$2:$B$38,0)),"OK","DIFF")</f>
        <v>OK</v>
      </c>
      <c r="N15" s="2" t="str">
        <f aca="false">IF(ISNUMBER(SEARCH("Contract/PO/SPK; Invoice; Work",INDEX('Transaction Evidence'!$E$2:$E$38,MATCH($A15,'Transaction Evidence'!$A$2:$A$38,0)))),"Yes","No")</f>
        <v>No</v>
      </c>
      <c r="O15" s="2" t="str">
        <f aca="false">IF(D15="PT Rinjani Niaga Sentosa","Yes","No")</f>
        <v>No</v>
      </c>
      <c r="P15" s="2" t="str">
        <f aca="false">IF(AND(J15=K15,K15=L15),"Yes","No")</f>
        <v>Yes</v>
      </c>
      <c r="Q15" s="2" t="str">
        <f aca="false">IF(H15&gt;=$W$1,"Yes","No")</f>
        <v>No</v>
      </c>
      <c r="R15" s="2" t="str">
        <f aca="false">IF(COUNTIF('Ref - Booklet Data'!$C$14:$C$19,E15)&gt;0,"Registered","Not in extract")</f>
        <v>Not in extract</v>
      </c>
      <c r="S15" s="2" t="str">
        <f aca="false">IF(AND(O15="Yes",N15="No"),"Suspected fraud",IF(O15="Yes","Unresolved - RNS with contract",IF(N15="Yes","Legitimate (provisional)","Unresolved - partial docs")))</f>
        <v>Unresolved - partial docs</v>
      </c>
      <c r="T15" s="2" t="str">
        <f aca="false">INDEX('Transaction Evidence'!$F$2:$F$38,MATCH($A15,'Transaction Evidence'!$A$2:$A$38,0))</f>
        <v>An invoice and promotional materials are on file for this transaction. No PO/SPK or complete evidence of deliverables was located.</v>
      </c>
      <c r="U15" s="2"/>
      <c r="V15" s="2"/>
      <c r="W15" s="2"/>
    </row>
    <row r="16" customFormat="false" ht="15" hidden="false" customHeight="false" outlineLevel="0" collapsed="false">
      <c r="A16" s="2" t="str">
        <f aca="false">'Outgoing Transactions'!B13</f>
        <v>ESM-OUT-012</v>
      </c>
      <c r="B16" s="14" t="n">
        <f aca="false">DATEVALUE('Outgoing Transactions'!C13)</f>
        <v>45196</v>
      </c>
      <c r="C16" s="2" t="str">
        <f aca="false">'Outgoing Transactions'!D13</f>
        <v>ESM-BY-01</v>
      </c>
      <c r="D16" s="2" t="str">
        <f aca="false">'Outgoing Transactions'!F13</f>
        <v>PT Rinjani Niaga Sentosa</v>
      </c>
      <c r="E16" s="2" t="str">
        <f aca="false">'Outgoing Transactions'!G13</f>
        <v>RNS-BR-01</v>
      </c>
      <c r="F16" s="2" t="str">
        <f aca="false">'Outgoing Transactions'!H13</f>
        <v>Bank Rinjani</v>
      </c>
      <c r="G16" s="2" t="str">
        <f aca="false">INDEX('Transaction Evidence'!$B$2:$B$38,MATCH($A16,'Transaction Evidence'!$A$2:$A$38,0))</f>
        <v>REQ-RNS-013</v>
      </c>
      <c r="H16" s="12" t="n">
        <f aca="false">INDEX('Transaction Evidence'!$D$2:$D$38,MATCH($A16,'Transaction Evidence'!$A$2:$A$38,0))</f>
        <v>550000000</v>
      </c>
      <c r="I16" s="2" t="str">
        <f aca="false">INDEX('Payment Approval'!$E$2:$E$38,MATCH($G16,'Payment Approval'!$B$2:$B$38,0))</f>
        <v>Operational activity settlement</v>
      </c>
      <c r="J16" s="2" t="str">
        <f aca="false">INDEX('Payment Approval'!$F$2:$F$38,MATCH($G16,'Payment Approval'!$B$2:$B$38,0))</f>
        <v>USR-FIN-02</v>
      </c>
      <c r="K16" s="2" t="str">
        <f aca="false">INDEX('Payment Approval'!$G$2:$G$38,MATCH($G16,'Payment Approval'!$B$2:$B$38,0))</f>
        <v>USR-FIN-02</v>
      </c>
      <c r="L16" s="2" t="str">
        <f aca="false">INDEX('Payment Approval'!$H$2:$H$38,MATCH($G16,'Payment Approval'!$B$2:$B$38,0))</f>
        <v>USR-FIN-02</v>
      </c>
      <c r="M16" s="2" t="str">
        <f aca="false">IF(H16=INDEX('Payment Approval'!$C$2:$C$38,MATCH($G16,'Payment Approval'!$B$2:$B$38,0)),"OK","DIFF")</f>
        <v>OK</v>
      </c>
      <c r="N16" s="2" t="str">
        <f aca="false">IF(ISNUMBER(SEARCH("Contract/PO/SPK; Invoice; Work",INDEX('Transaction Evidence'!$E$2:$E$38,MATCH($A16,'Transaction Evidence'!$A$2:$A$38,0)))),"Yes","No")</f>
        <v>No</v>
      </c>
      <c r="O16" s="2" t="str">
        <f aca="false">IF(D16="PT Rinjani Niaga Sentosa","Yes","No")</f>
        <v>Yes</v>
      </c>
      <c r="P16" s="2" t="str">
        <f aca="false">IF(AND(J16=K16,K16=L16),"Yes","No")</f>
        <v>Yes</v>
      </c>
      <c r="Q16" s="2" t="str">
        <f aca="false">IF(H16&gt;=$W$1,"Yes","No")</f>
        <v>No</v>
      </c>
      <c r="R16" s="2" t="str">
        <f aca="false">IF(COUNTIF('Ref - Booklet Data'!$C$14:$C$19,E16)&gt;0,"Registered","Not in extract")</f>
        <v>Registered</v>
      </c>
      <c r="S16" s="2" t="str">
        <f aca="false">IF(AND(O16="Yes",N16="No"),"Suspected fraud",IF(O16="Yes","Unresolved - RNS with contract",IF(N16="Yes","Legitimate (provisional)","Unresolved - partial docs")))</f>
        <v>Suspected fraud</v>
      </c>
      <c r="T16" s="2" t="str">
        <f aca="false">INDEX('Transaction Evidence'!$F$2:$F$38,MATCH($A16,'Transaction Evidence'!$A$2:$A$38,0))</f>
        <v>Only a Payment Request, transfer evidence, and email/internal instructions are on file for this transaction. No contract, PO/SPK, work/delivery report, or evidence of</v>
      </c>
      <c r="U16" s="2"/>
      <c r="V16" s="2"/>
      <c r="W16" s="2"/>
    </row>
    <row r="17" customFormat="false" ht="15" hidden="false" customHeight="false" outlineLevel="0" collapsed="false">
      <c r="A17" s="2" t="str">
        <f aca="false">'Outgoing Transactions'!B14</f>
        <v>ESM-OUT-013</v>
      </c>
      <c r="B17" s="14" t="n">
        <f aca="false">DATEVALUE('Outgoing Transactions'!C14)</f>
        <v>45202</v>
      </c>
      <c r="C17" s="2" t="str">
        <f aca="false">'Outgoing Transactions'!D14</f>
        <v>ESM-BX-01</v>
      </c>
      <c r="D17" s="2" t="str">
        <f aca="false">'Outgoing Transactions'!F14</f>
        <v>PT Laut Flores Teknologi</v>
      </c>
      <c r="E17" s="2" t="str">
        <f aca="false">'Outgoing Transactions'!G14</f>
        <v>VND-TI-01</v>
      </c>
      <c r="F17" s="2" t="str">
        <f aca="false">'Outgoing Transactions'!H14</f>
        <v>Bank Nusantara</v>
      </c>
      <c r="G17" s="2" t="str">
        <f aca="false">INDEX('Transaction Evidence'!$B$2:$B$38,MATCH($A17,'Transaction Evidence'!$A$2:$A$38,0))</f>
        <v>CTR-2024-014</v>
      </c>
      <c r="H17" s="12" t="n">
        <f aca="false">INDEX('Transaction Evidence'!$D$2:$D$38,MATCH($A17,'Transaction Evidence'!$A$2:$A$38,0))</f>
        <v>250000000</v>
      </c>
      <c r="I17" s="2" t="str">
        <f aca="false">INDEX('Payment Approval'!$E$2:$E$38,MATCH($G17,'Payment Approval'!$B$2:$B$38,0))</f>
        <v>System development</v>
      </c>
      <c r="J17" s="2" t="str">
        <f aca="false">INDEX('Payment Approval'!$F$2:$F$38,MATCH($G17,'Payment Approval'!$B$2:$B$38,0))</f>
        <v>USR-FIN-01</v>
      </c>
      <c r="K17" s="2" t="str">
        <f aca="false">INDEX('Payment Approval'!$G$2:$G$38,MATCH($G17,'Payment Approval'!$B$2:$B$38,0))</f>
        <v>USR-FIN-02</v>
      </c>
      <c r="L17" s="2" t="str">
        <f aca="false">INDEX('Payment Approval'!$H$2:$H$38,MATCH($G17,'Payment Approval'!$B$2:$B$38,0))</f>
        <v>USR-FIN-02</v>
      </c>
      <c r="M17" s="2" t="str">
        <f aca="false">IF(H17=INDEX('Payment Approval'!$C$2:$C$38,MATCH($G17,'Payment Approval'!$B$2:$B$38,0)),"OK","DIFF")</f>
        <v>OK</v>
      </c>
      <c r="N17" s="2" t="str">
        <f aca="false">IF(ISNUMBER(SEARCH("Contract/PO/SPK; Invoice; Work",INDEX('Transaction Evidence'!$E$2:$E$38,MATCH($A17,'Transaction Evidence'!$A$2:$A$38,0)))),"Yes","No")</f>
        <v>Yes</v>
      </c>
      <c r="O17" s="2" t="str">
        <f aca="false">IF(D17="PT Rinjani Niaga Sentosa","Yes","No")</f>
        <v>No</v>
      </c>
      <c r="P17" s="2" t="str">
        <f aca="false">IF(AND(J17=K17,K17=L17),"Yes","No")</f>
        <v>No</v>
      </c>
      <c r="Q17" s="2" t="str">
        <f aca="false">IF(H17&gt;=$W$1,"Yes","No")</f>
        <v>No</v>
      </c>
      <c r="R17" s="2" t="str">
        <f aca="false">IF(COUNTIF('Ref - Booklet Data'!$C$14:$C$19,E17)&gt;0,"Registered","Not in extract")</f>
        <v>Registered</v>
      </c>
      <c r="S17" s="2" t="str">
        <f aca="false">IF(AND(O17="Yes",N17="No"),"Suspected fraud",IF(O17="Yes","Unresolved - RNS with contract",IF(N17="Yes","Legitimate (provisional)","Unresolved - partial docs")))</f>
        <v>Legitimate (provisional)</v>
      </c>
      <c r="T17" s="2" t="str">
        <f aca="false">INDEX('Transaction Evidence'!$F$2:$F$38,MATCH($A17,'Transaction Evidence'!$A$2:$A$38,0))</f>
        <v>Contract/PO/SPK, invoice, work/hand-over report, evidence of receipt of goods/services, and Board of Directors approval are on file for this transaction.</v>
      </c>
      <c r="U17" s="2"/>
      <c r="V17" s="2"/>
      <c r="W17" s="2"/>
    </row>
    <row r="18" customFormat="false" ht="15" hidden="false" customHeight="false" outlineLevel="0" collapsed="false">
      <c r="A18" s="2" t="str">
        <f aca="false">'Outgoing Transactions'!B15</f>
        <v>ESM-OUT-014</v>
      </c>
      <c r="B18" s="14" t="n">
        <f aca="false">DATEVALUE('Outgoing Transactions'!C15)</f>
        <v>45218</v>
      </c>
      <c r="C18" s="2" t="str">
        <f aca="false">'Outgoing Transactions'!D15</f>
        <v>ESM-BY-01</v>
      </c>
      <c r="D18" s="2" t="str">
        <f aca="false">'Outgoing Transactions'!F15</f>
        <v>PT Laut Maluku Proyek</v>
      </c>
      <c r="E18" s="2" t="str">
        <f aca="false">'Outgoing Transactions'!G15</f>
        <v>VND-PJ-02</v>
      </c>
      <c r="F18" s="2" t="str">
        <f aca="false">'Outgoing Transactions'!H15</f>
        <v>Bank Cakra</v>
      </c>
      <c r="G18" s="2" t="str">
        <f aca="false">INDEX('Transaction Evidence'!$B$2:$B$38,MATCH($A18,'Transaction Evidence'!$A$2:$A$38,0))</f>
        <v>REQ-PJ-1019</v>
      </c>
      <c r="H18" s="12" t="n">
        <f aca="false">INDEX('Transaction Evidence'!$D$2:$D$38,MATCH($A18,'Transaction Evidence'!$A$2:$A$38,0))</f>
        <v>260000000</v>
      </c>
      <c r="I18" s="2" t="str">
        <f aca="false">INDEX('Payment Approval'!$E$2:$E$38,MATCH($G18,'Payment Approval'!$B$2:$B$38,0))</f>
        <v>Project services</v>
      </c>
      <c r="J18" s="2" t="str">
        <f aca="false">INDEX('Payment Approval'!$F$2:$F$38,MATCH($G18,'Payment Approval'!$B$2:$B$38,0))</f>
        <v>USR-FIN-02</v>
      </c>
      <c r="K18" s="2" t="str">
        <f aca="false">INDEX('Payment Approval'!$G$2:$G$38,MATCH($G18,'Payment Approval'!$B$2:$B$38,0))</f>
        <v>USR-FIN-02</v>
      </c>
      <c r="L18" s="2" t="str">
        <f aca="false">INDEX('Payment Approval'!$H$2:$H$38,MATCH($G18,'Payment Approval'!$B$2:$B$38,0))</f>
        <v>USR-FIN-02</v>
      </c>
      <c r="M18" s="2" t="str">
        <f aca="false">IF(H18=INDEX('Payment Approval'!$C$2:$C$38,MATCH($G18,'Payment Approval'!$B$2:$B$38,0)),"OK","DIFF")</f>
        <v>OK</v>
      </c>
      <c r="N18" s="2" t="str">
        <f aca="false">IF(ISNUMBER(SEARCH("Contract/PO/SPK; Invoice; Work",INDEX('Transaction Evidence'!$E$2:$E$38,MATCH($A18,'Transaction Evidence'!$A$2:$A$38,0)))),"Yes","No")</f>
        <v>No</v>
      </c>
      <c r="O18" s="2" t="str">
        <f aca="false">IF(D18="PT Rinjani Niaga Sentosa","Yes","No")</f>
        <v>No</v>
      </c>
      <c r="P18" s="2" t="str">
        <f aca="false">IF(AND(J18=K18,K18=L18),"Yes","No")</f>
        <v>Yes</v>
      </c>
      <c r="Q18" s="2" t="str">
        <f aca="false">IF(H18&gt;=$W$1,"Yes","No")</f>
        <v>No</v>
      </c>
      <c r="R18" s="2" t="str">
        <f aca="false">IF(COUNTIF('Ref - Booklet Data'!$C$14:$C$19,E18)&gt;0,"Registered","Not in extract")</f>
        <v>Not in extract</v>
      </c>
      <c r="S18" s="2" t="str">
        <f aca="false">IF(AND(O18="Yes",N18="No"),"Suspected fraud",IF(O18="Yes","Unresolved - RNS with contract",IF(N18="Yes","Legitimate (provisional)","Unresolved - partial docs")))</f>
        <v>Unresolved - partial docs</v>
      </c>
      <c r="T18" s="2" t="str">
        <f aca="false">INDEX('Transaction Evidence'!$F$2:$F$38,MATCH($A18,'Transaction Evidence'!$A$2:$A$38,0))</f>
        <v>A payment request and invoice is not supported by a contract and work report was located.</v>
      </c>
      <c r="U18" s="2"/>
      <c r="V18" s="2"/>
      <c r="W18" s="2"/>
    </row>
    <row r="19" customFormat="false" ht="15" hidden="false" customHeight="false" outlineLevel="0" collapsed="false">
      <c r="A19" s="2" t="str">
        <f aca="false">'Outgoing Transactions'!B16</f>
        <v>ESM-OUT-015</v>
      </c>
      <c r="B19" s="14" t="n">
        <f aca="false">DATEVALUE('Outgoing Transactions'!C16)</f>
        <v>45240</v>
      </c>
      <c r="C19" s="2" t="str">
        <f aca="false">'Outgoing Transactions'!D16</f>
        <v>ESM-BX-01</v>
      </c>
      <c r="D19" s="2" t="str">
        <f aca="false">'Outgoing Transactions'!F16</f>
        <v>PT Laut Natuna Jasa</v>
      </c>
      <c r="E19" s="2" t="str">
        <f aca="false">'Outgoing Transactions'!G16</f>
        <v>VND-JS-01</v>
      </c>
      <c r="F19" s="2" t="str">
        <f aca="false">'Outgoing Transactions'!H16</f>
        <v>Bank Cakra</v>
      </c>
      <c r="G19" s="2" t="str">
        <f aca="false">INDEX('Transaction Evidence'!$B$2:$B$38,MATCH($A19,'Transaction Evidence'!$A$2:$A$38,0))</f>
        <v>INV-LN-0324</v>
      </c>
      <c r="H19" s="12" t="n">
        <f aca="false">INDEX('Transaction Evidence'!$D$2:$D$38,MATCH($A19,'Transaction Evidence'!$A$2:$A$38,0))</f>
        <v>420000000</v>
      </c>
      <c r="I19" s="2" t="str">
        <f aca="false">INDEX('Payment Approval'!$E$2:$E$38,MATCH($G19,'Payment Approval'!$B$2:$B$38,0))</f>
        <v>Outlet operational services</v>
      </c>
      <c r="J19" s="2" t="str">
        <f aca="false">INDEX('Payment Approval'!$F$2:$F$38,MATCH($G19,'Payment Approval'!$B$2:$B$38,0))</f>
        <v>USR-FIN-02</v>
      </c>
      <c r="K19" s="2" t="str">
        <f aca="false">INDEX('Payment Approval'!$G$2:$G$38,MATCH($G19,'Payment Approval'!$B$2:$B$38,0))</f>
        <v>USR-FIN-02</v>
      </c>
      <c r="L19" s="2" t="str">
        <f aca="false">INDEX('Payment Approval'!$H$2:$H$38,MATCH($G19,'Payment Approval'!$B$2:$B$38,0))</f>
        <v>USR-FIN-02</v>
      </c>
      <c r="M19" s="2" t="str">
        <f aca="false">IF(H19=INDEX('Payment Approval'!$C$2:$C$38,MATCH($G19,'Payment Approval'!$B$2:$B$38,0)),"OK","DIFF")</f>
        <v>OK</v>
      </c>
      <c r="N19" s="2" t="str">
        <f aca="false">IF(ISNUMBER(SEARCH("Contract/PO/SPK; Invoice; Work",INDEX('Transaction Evidence'!$E$2:$E$38,MATCH($A19,'Transaction Evidence'!$A$2:$A$38,0)))),"Yes","No")</f>
        <v>No</v>
      </c>
      <c r="O19" s="2" t="str">
        <f aca="false">IF(D19="PT Rinjani Niaga Sentosa","Yes","No")</f>
        <v>No</v>
      </c>
      <c r="P19" s="2" t="str">
        <f aca="false">IF(AND(J19=K19,K19=L19),"Yes","No")</f>
        <v>Yes</v>
      </c>
      <c r="Q19" s="2" t="str">
        <f aca="false">IF(H19&gt;=$W$1,"Yes","No")</f>
        <v>No</v>
      </c>
      <c r="R19" s="2" t="str">
        <f aca="false">IF(COUNTIF('Ref - Booklet Data'!$C$14:$C$19,E19)&gt;0,"Registered","Not in extract")</f>
        <v>Not in extract</v>
      </c>
      <c r="S19" s="2" t="str">
        <f aca="false">IF(AND(O19="Yes",N19="No"),"Suspected fraud",IF(O19="Yes","Unresolved - RNS with contract",IF(N19="Yes","Legitimate (provisional)","Unresolved - partial docs")))</f>
        <v>Unresolved - partial docs</v>
      </c>
      <c r="T19" s="2" t="str">
        <f aca="false">INDEX('Transaction Evidence'!$F$2:$F$38,MATCH($A19,'Transaction Evidence'!$A$2:$A$38,0))</f>
        <v>An invoice and email instruction are on file for this transaction. No contract/SPK or work report was located.</v>
      </c>
      <c r="U19" s="2"/>
      <c r="V19" s="2"/>
      <c r="W19" s="2"/>
    </row>
    <row r="20" customFormat="false" ht="15" hidden="false" customHeight="false" outlineLevel="0" collapsed="false">
      <c r="A20" s="2" t="str">
        <f aca="false">'Outgoing Transactions'!B17</f>
        <v>ESM-OUT-016</v>
      </c>
      <c r="B20" s="14" t="n">
        <f aca="false">DATEVALUE('Outgoing Transactions'!C17)</f>
        <v>45246</v>
      </c>
      <c r="C20" s="2" t="str">
        <f aca="false">'Outgoing Transactions'!D17</f>
        <v>ESM-BY-01</v>
      </c>
      <c r="D20" s="2" t="str">
        <f aca="false">'Outgoing Transactions'!F17</f>
        <v>PT Rinjani Niaga Sentosa</v>
      </c>
      <c r="E20" s="2" t="str">
        <f aca="false">'Outgoing Transactions'!G17</f>
        <v>RNS-BR-01</v>
      </c>
      <c r="F20" s="2" t="str">
        <f aca="false">'Outgoing Transactions'!H17</f>
        <v>Bank Rinjani</v>
      </c>
      <c r="G20" s="2" t="str">
        <f aca="false">INDEX('Transaction Evidence'!$B$2:$B$38,MATCH($A20,'Transaction Evidence'!$A$2:$A$38,0))</f>
        <v>REQ-RNS-009</v>
      </c>
      <c r="H20" s="12" t="n">
        <f aca="false">INDEX('Transaction Evidence'!$D$2:$D$38,MATCH($A20,'Transaction Evidence'!$A$2:$A$38,0))</f>
        <v>750000000</v>
      </c>
      <c r="I20" s="2" t="str">
        <f aca="false">INDEX('Payment Approval'!$E$2:$E$38,MATCH($G20,'Payment Approval'!$B$2:$B$38,0))</f>
        <v>Payment adjustment</v>
      </c>
      <c r="J20" s="2" t="str">
        <f aca="false">INDEX('Payment Approval'!$F$2:$F$38,MATCH($G20,'Payment Approval'!$B$2:$B$38,0))</f>
        <v>USR-FIN-02</v>
      </c>
      <c r="K20" s="2" t="str">
        <f aca="false">INDEX('Payment Approval'!$G$2:$G$38,MATCH($G20,'Payment Approval'!$B$2:$B$38,0))</f>
        <v>USR-FIN-02</v>
      </c>
      <c r="L20" s="2" t="str">
        <f aca="false">INDEX('Payment Approval'!$H$2:$H$38,MATCH($G20,'Payment Approval'!$B$2:$B$38,0))</f>
        <v>USR-FIN-02</v>
      </c>
      <c r="M20" s="2" t="str">
        <f aca="false">IF(H20=INDEX('Payment Approval'!$C$2:$C$38,MATCH($G20,'Payment Approval'!$B$2:$B$38,0)),"OK","DIFF")</f>
        <v>OK</v>
      </c>
      <c r="N20" s="2" t="str">
        <f aca="false">IF(ISNUMBER(SEARCH("Contract/PO/SPK; Invoice; Work",INDEX('Transaction Evidence'!$E$2:$E$38,MATCH($A20,'Transaction Evidence'!$A$2:$A$38,0)))),"Yes","No")</f>
        <v>No</v>
      </c>
      <c r="O20" s="2" t="str">
        <f aca="false">IF(D20="PT Rinjani Niaga Sentosa","Yes","No")</f>
        <v>Yes</v>
      </c>
      <c r="P20" s="2" t="str">
        <f aca="false">IF(AND(J20=K20,K20=L20),"Yes","No")</f>
        <v>Yes</v>
      </c>
      <c r="Q20" s="2" t="str">
        <f aca="false">IF(H20&gt;=$W$1,"Yes","No")</f>
        <v>No</v>
      </c>
      <c r="R20" s="2" t="str">
        <f aca="false">IF(COUNTIF('Ref - Booklet Data'!$C$14:$C$19,E20)&gt;0,"Registered","Not in extract")</f>
        <v>Registered</v>
      </c>
      <c r="S20" s="2" t="str">
        <f aca="false">IF(AND(O20="Yes",N20="No"),"Suspected fraud",IF(O20="Yes","Unresolved - RNS with contract",IF(N20="Yes","Legitimate (provisional)","Unresolved - partial docs")))</f>
        <v>Suspected fraud</v>
      </c>
      <c r="T20" s="2" t="str">
        <f aca="false">INDEX('Transaction Evidence'!$F$2:$F$38,MATCH($A20,'Transaction Evidence'!$A$2:$A$38,0))</f>
        <v>Only a Payment Request, transfer evidence, and email/internal instructions are on file for this transaction. No contract, PO/SPK, work/delivery report, or evidence of</v>
      </c>
      <c r="U20" s="2"/>
      <c r="V20" s="2"/>
      <c r="W20" s="2"/>
    </row>
    <row r="21" customFormat="false" ht="15" hidden="false" customHeight="false" outlineLevel="0" collapsed="false">
      <c r="A21" s="2" t="str">
        <f aca="false">'Outgoing Transactions'!B18</f>
        <v>ESM-OUT-017</v>
      </c>
      <c r="B21" s="14" t="n">
        <f aca="false">DATEVALUE('Outgoing Transactions'!C18)</f>
        <v>45265</v>
      </c>
      <c r="C21" s="2" t="str">
        <f aca="false">'Outgoing Transactions'!D18</f>
        <v>ESM-BX-01</v>
      </c>
      <c r="D21" s="2" t="str">
        <f aca="false">'Outgoing Transactions'!F18</f>
        <v>PT Laut Flores Teknologi</v>
      </c>
      <c r="E21" s="2" t="str">
        <f aca="false">'Outgoing Transactions'!G18</f>
        <v>VND-TI-03</v>
      </c>
      <c r="F21" s="2" t="str">
        <f aca="false">'Outgoing Transactions'!H18</f>
        <v>Bank Cakra</v>
      </c>
      <c r="G21" s="2" t="str">
        <f aca="false">INDEX('Transaction Evidence'!$B$2:$B$38,MATCH($A21,'Transaction Evidence'!$A$2:$A$38,0))</f>
        <v>REQ-TECH-1205</v>
      </c>
      <c r="H21" s="12" t="n">
        <f aca="false">INDEX('Transaction Evidence'!$D$2:$D$38,MATCH($A21,'Transaction Evidence'!$A$2:$A$38,0))</f>
        <v>280000000</v>
      </c>
      <c r="I21" s="2" t="str">
        <f aca="false">INDEX('Payment Approval'!$E$2:$E$38,MATCH($G21,'Payment Approval'!$B$2:$B$38,0))</f>
        <v>System feature development</v>
      </c>
      <c r="J21" s="2" t="str">
        <f aca="false">INDEX('Payment Approval'!$F$2:$F$38,MATCH($G21,'Payment Approval'!$B$2:$B$38,0))</f>
        <v>USR-FIN-02</v>
      </c>
      <c r="K21" s="2" t="str">
        <f aca="false">INDEX('Payment Approval'!$G$2:$G$38,MATCH($G21,'Payment Approval'!$B$2:$B$38,0))</f>
        <v>USR-FIN-02</v>
      </c>
      <c r="L21" s="2" t="str">
        <f aca="false">INDEX('Payment Approval'!$H$2:$H$38,MATCH($G21,'Payment Approval'!$B$2:$B$38,0))</f>
        <v>USR-FIN-02</v>
      </c>
      <c r="M21" s="2" t="str">
        <f aca="false">IF(H21=INDEX('Payment Approval'!$C$2:$C$38,MATCH($G21,'Payment Approval'!$B$2:$B$38,0)),"OK","DIFF")</f>
        <v>OK</v>
      </c>
      <c r="N21" s="2" t="str">
        <f aca="false">IF(ISNUMBER(SEARCH("Contract/PO/SPK; Invoice; Work",INDEX('Transaction Evidence'!$E$2:$E$38,MATCH($A21,'Transaction Evidence'!$A$2:$A$38,0)))),"Yes","No")</f>
        <v>No</v>
      </c>
      <c r="O21" s="2" t="str">
        <f aca="false">IF(D21="PT Rinjani Niaga Sentosa","Yes","No")</f>
        <v>No</v>
      </c>
      <c r="P21" s="2" t="str">
        <f aca="false">IF(AND(J21=K21,K21=L21),"Yes","No")</f>
        <v>Yes</v>
      </c>
      <c r="Q21" s="2" t="str">
        <f aca="false">IF(H21&gt;=$W$1,"Yes","No")</f>
        <v>No</v>
      </c>
      <c r="R21" s="2" t="str">
        <f aca="false">IF(COUNTIF('Ref - Booklet Data'!$C$14:$C$19,E21)&gt;0,"Registered","Not in extract")</f>
        <v>Not in extract</v>
      </c>
      <c r="S21" s="2" t="str">
        <f aca="false">IF(AND(O21="Yes",N21="No"),"Suspected fraud",IF(O21="Yes","Unresolved - RNS with contract",IF(N21="Yes","Legitimate (provisional)","Unresolved - partial docs")))</f>
        <v>Unresolved - partial docs</v>
      </c>
      <c r="T21" s="2" t="str">
        <f aca="false">INDEX('Transaction Evidence'!$F$2:$F$38,MATCH($A21,'Transaction Evidence'!$A$2:$A$38,0))</f>
        <v>A request email and invoice are on file for this transaction. No contract/SPK or completion report was located.</v>
      </c>
      <c r="U21" s="2"/>
      <c r="V21" s="2"/>
      <c r="W21" s="2"/>
    </row>
    <row r="22" customFormat="false" ht="15" hidden="false" customHeight="false" outlineLevel="0" collapsed="false">
      <c r="A22" s="2" t="str">
        <f aca="false">'Outgoing Transactions'!B19</f>
        <v>ESM-OUT-018</v>
      </c>
      <c r="B22" s="14" t="n">
        <f aca="false">DATEVALUE('Outgoing Transactions'!C19)</f>
        <v>45271</v>
      </c>
      <c r="C22" s="2" t="str">
        <f aca="false">'Outgoing Transactions'!D19</f>
        <v>ESM-BY-01</v>
      </c>
      <c r="D22" s="2" t="str">
        <f aca="false">'Outgoing Transactions'!F19</f>
        <v>PT Rinjani Niaga Sentosa</v>
      </c>
      <c r="E22" s="2" t="str">
        <f aca="false">'Outgoing Transactions'!G19</f>
        <v>RNS-BR-01</v>
      </c>
      <c r="F22" s="2" t="str">
        <f aca="false">'Outgoing Transactions'!H19</f>
        <v>Bank Rinjani</v>
      </c>
      <c r="G22" s="2" t="str">
        <f aca="false">INDEX('Transaction Evidence'!$B$2:$B$38,MATCH($A22,'Transaction Evidence'!$A$2:$A$38,0))</f>
        <v>REQ-RNS-005</v>
      </c>
      <c r="H22" s="12" t="n">
        <f aca="false">INDEX('Transaction Evidence'!$D$2:$D$38,MATCH($A22,'Transaction Evidence'!$A$2:$A$38,0))</f>
        <v>975000000</v>
      </c>
      <c r="I22" s="2" t="str">
        <f aca="false">INDEX('Payment Approval'!$E$2:$E$38,MATCH($G22,'Payment Approval'!$B$2:$B$38,0))</f>
        <v>Expansion fund placement</v>
      </c>
      <c r="J22" s="2" t="str">
        <f aca="false">INDEX('Payment Approval'!$F$2:$F$38,MATCH($G22,'Payment Approval'!$B$2:$B$38,0))</f>
        <v>USR-FIN-02</v>
      </c>
      <c r="K22" s="2" t="str">
        <f aca="false">INDEX('Payment Approval'!$G$2:$G$38,MATCH($G22,'Payment Approval'!$B$2:$B$38,0))</f>
        <v>USR-FIN-02</v>
      </c>
      <c r="L22" s="2" t="str">
        <f aca="false">INDEX('Payment Approval'!$H$2:$H$38,MATCH($G22,'Payment Approval'!$B$2:$B$38,0))</f>
        <v>USR-FIN-02</v>
      </c>
      <c r="M22" s="2" t="str">
        <f aca="false">IF(H22=INDEX('Payment Approval'!$C$2:$C$38,MATCH($G22,'Payment Approval'!$B$2:$B$38,0)),"OK","DIFF")</f>
        <v>OK</v>
      </c>
      <c r="N22" s="2" t="str">
        <f aca="false">IF(ISNUMBER(SEARCH("Contract/PO/SPK; Invoice; Work",INDEX('Transaction Evidence'!$E$2:$E$38,MATCH($A22,'Transaction Evidence'!$A$2:$A$38,0)))),"Yes","No")</f>
        <v>No</v>
      </c>
      <c r="O22" s="2" t="str">
        <f aca="false">IF(D22="PT Rinjani Niaga Sentosa","Yes","No")</f>
        <v>Yes</v>
      </c>
      <c r="P22" s="2" t="str">
        <f aca="false">IF(AND(J22=K22,K22=L22),"Yes","No")</f>
        <v>Yes</v>
      </c>
      <c r="Q22" s="2" t="str">
        <f aca="false">IF(H22&gt;=$W$1,"Yes","No")</f>
        <v>Yes</v>
      </c>
      <c r="R22" s="2" t="str">
        <f aca="false">IF(COUNTIF('Ref - Booklet Data'!$C$14:$C$19,E22)&gt;0,"Registered","Not in extract")</f>
        <v>Registered</v>
      </c>
      <c r="S22" s="2" t="str">
        <f aca="false">IF(AND(O22="Yes",N22="No"),"Suspected fraud",IF(O22="Yes","Unresolved - RNS with contract",IF(N22="Yes","Legitimate (provisional)","Unresolved - partial docs")))</f>
        <v>Suspected fraud</v>
      </c>
      <c r="T22" s="2" t="str">
        <f aca="false">INDEX('Transaction Evidence'!$F$2:$F$38,MATCH($A22,'Transaction Evidence'!$A$2:$A$38,0))</f>
        <v>Only a Payment Request, transfer evidence, and email/internal instructions are on file for this transaction. No contract, PO/SPK, work/delivery report, or evidence of</v>
      </c>
      <c r="U22" s="2"/>
      <c r="V22" s="2"/>
      <c r="W22" s="2"/>
    </row>
    <row r="23" customFormat="false" ht="15" hidden="false" customHeight="false" outlineLevel="0" collapsed="false">
      <c r="A23" s="2" t="str">
        <f aca="false">'Outgoing Transactions'!B20</f>
        <v>ESM-OUT-019</v>
      </c>
      <c r="B23" s="14" t="n">
        <f aca="false">DATEVALUE('Outgoing Transactions'!C20)</f>
        <v>45281</v>
      </c>
      <c r="C23" s="2" t="str">
        <f aca="false">'Outgoing Transactions'!D20</f>
        <v>ESM-BX-01</v>
      </c>
      <c r="D23" s="2" t="str">
        <f aca="false">'Outgoing Transactions'!F20</f>
        <v>PT Laut Banda Pangan</v>
      </c>
      <c r="E23" s="2" t="str">
        <f aca="false">'Outgoing Transactions'!G20</f>
        <v>VND-BD-02</v>
      </c>
      <c r="F23" s="2" t="str">
        <f aca="false">'Outgoing Transactions'!H20</f>
        <v>Bank Samudra</v>
      </c>
      <c r="G23" s="2" t="str">
        <f aca="false">INDEX('Transaction Evidence'!$B$2:$B$38,MATCH($A23,'Transaction Evidence'!$A$2:$A$38,0))</f>
        <v>CTR-2024-035</v>
      </c>
      <c r="H23" s="12" t="n">
        <f aca="false">INDEX('Transaction Evidence'!$D$2:$D$38,MATCH($A23,'Transaction Evidence'!$A$2:$A$38,0))</f>
        <v>250000000</v>
      </c>
      <c r="I23" s="2" t="str">
        <f aca="false">INDEX('Payment Approval'!$E$2:$E$38,MATCH($G23,'Payment Approval'!$B$2:$B$38,0))</f>
        <v>Additional raw material procurement</v>
      </c>
      <c r="J23" s="2" t="str">
        <f aca="false">INDEX('Payment Approval'!$F$2:$F$38,MATCH($G23,'Payment Approval'!$B$2:$B$38,0))</f>
        <v>USR-FIN-01</v>
      </c>
      <c r="K23" s="2" t="str">
        <f aca="false">INDEX('Payment Approval'!$G$2:$G$38,MATCH($G23,'Payment Approval'!$B$2:$B$38,0))</f>
        <v>USR-FIN-02</v>
      </c>
      <c r="L23" s="2" t="str">
        <f aca="false">INDEX('Payment Approval'!$H$2:$H$38,MATCH($G23,'Payment Approval'!$B$2:$B$38,0))</f>
        <v>USR-FIN-02</v>
      </c>
      <c r="M23" s="2" t="str">
        <f aca="false">IF(H23=INDEX('Payment Approval'!$C$2:$C$38,MATCH($G23,'Payment Approval'!$B$2:$B$38,0)),"OK","DIFF")</f>
        <v>OK</v>
      </c>
      <c r="N23" s="2" t="str">
        <f aca="false">IF(ISNUMBER(SEARCH("Contract/PO/SPK; Invoice; Work",INDEX('Transaction Evidence'!$E$2:$E$38,MATCH($A23,'Transaction Evidence'!$A$2:$A$38,0)))),"Yes","No")</f>
        <v>Yes</v>
      </c>
      <c r="O23" s="2" t="str">
        <f aca="false">IF(D23="PT Rinjani Niaga Sentosa","Yes","No")</f>
        <v>No</v>
      </c>
      <c r="P23" s="2" t="str">
        <f aca="false">IF(AND(J23=K23,K23=L23),"Yes","No")</f>
        <v>No</v>
      </c>
      <c r="Q23" s="2" t="str">
        <f aca="false">IF(H23&gt;=$W$1,"Yes","No")</f>
        <v>No</v>
      </c>
      <c r="R23" s="2" t="str">
        <f aca="false">IF(COUNTIF('Ref - Booklet Data'!$C$14:$C$19,E23)&gt;0,"Registered","Not in extract")</f>
        <v>Not in extract</v>
      </c>
      <c r="S23" s="2" t="str">
        <f aca="false">IF(AND(O23="Yes",N23="No"),"Suspected fraud",IF(O23="Yes","Unresolved - RNS with contract",IF(N23="Yes","Legitimate (provisional)","Unresolved - partial docs")))</f>
        <v>Legitimate (provisional)</v>
      </c>
      <c r="T23" s="2" t="str">
        <f aca="false">INDEX('Transaction Evidence'!$F$2:$F$38,MATCH($A23,'Transaction Evidence'!$A$2:$A$38,0))</f>
        <v>Contract/PO/SPK, invoice, work/hand-over report, evidence of receipt of goods/services, and Board of Directors approval are on file for this transaction.</v>
      </c>
      <c r="U23" s="2"/>
      <c r="V23" s="2"/>
      <c r="W23" s="2"/>
    </row>
    <row r="24" customFormat="false" ht="15" hidden="false" customHeight="false" outlineLevel="0" collapsed="false">
      <c r="A24" s="2" t="str">
        <f aca="false">'Outgoing Transactions'!B21</f>
        <v>ESM-OUT-020</v>
      </c>
      <c r="B24" s="14" t="n">
        <f aca="false">DATEVALUE('Outgoing Transactions'!C21)</f>
        <v>45308</v>
      </c>
      <c r="C24" s="2" t="str">
        <f aca="false">'Outgoing Transactions'!D21</f>
        <v>ESM-BY-01</v>
      </c>
      <c r="D24" s="2" t="str">
        <f aca="false">'Outgoing Transactions'!F21</f>
        <v>PT Rinjani Niaga Sentosa</v>
      </c>
      <c r="E24" s="2" t="str">
        <f aca="false">'Outgoing Transactions'!G21</f>
        <v>RNS-BR-01</v>
      </c>
      <c r="F24" s="2" t="str">
        <f aca="false">'Outgoing Transactions'!H21</f>
        <v>Bank Rinjani</v>
      </c>
      <c r="G24" s="2" t="str">
        <f aca="false">INDEX('Transaction Evidence'!$B$2:$B$38,MATCH($A24,'Transaction Evidence'!$A$2:$A$38,0))</f>
        <v>REQ-RNS-002</v>
      </c>
      <c r="H24" s="12" t="n">
        <f aca="false">INDEX('Transaction Evidence'!$D$2:$D$38,MATCH($A24,'Transaction Evidence'!$A$2:$A$38,0))</f>
        <v>880000000</v>
      </c>
      <c r="I24" s="2" t="str">
        <f aca="false">INDEX('Payment Approval'!$E$2:$E$38,MATCH($G24,'Payment Approval'!$B$2:$B$38,0))</f>
        <v>Operational cost settlement</v>
      </c>
      <c r="J24" s="2" t="str">
        <f aca="false">INDEX('Payment Approval'!$F$2:$F$38,MATCH($G24,'Payment Approval'!$B$2:$B$38,0))</f>
        <v>USR-FIN-02</v>
      </c>
      <c r="K24" s="2" t="str">
        <f aca="false">INDEX('Payment Approval'!$G$2:$G$38,MATCH($G24,'Payment Approval'!$B$2:$B$38,0))</f>
        <v>USR-FIN-02</v>
      </c>
      <c r="L24" s="2" t="str">
        <f aca="false">INDEX('Payment Approval'!$H$2:$H$38,MATCH($G24,'Payment Approval'!$B$2:$B$38,0))</f>
        <v>USR-FIN-02</v>
      </c>
      <c r="M24" s="2" t="str">
        <f aca="false">IF(H24=INDEX('Payment Approval'!$C$2:$C$38,MATCH($G24,'Payment Approval'!$B$2:$B$38,0)),"OK","DIFF")</f>
        <v>OK</v>
      </c>
      <c r="N24" s="2" t="str">
        <f aca="false">IF(ISNUMBER(SEARCH("Contract/PO/SPK; Invoice; Work",INDEX('Transaction Evidence'!$E$2:$E$38,MATCH($A24,'Transaction Evidence'!$A$2:$A$38,0)))),"Yes","No")</f>
        <v>No</v>
      </c>
      <c r="O24" s="2" t="str">
        <f aca="false">IF(D24="PT Rinjani Niaga Sentosa","Yes","No")</f>
        <v>Yes</v>
      </c>
      <c r="P24" s="2" t="str">
        <f aca="false">IF(AND(J24=K24,K24=L24),"Yes","No")</f>
        <v>Yes</v>
      </c>
      <c r="Q24" s="2" t="str">
        <f aca="false">IF(H24&gt;=$W$1,"Yes","No")</f>
        <v>No</v>
      </c>
      <c r="R24" s="2" t="str">
        <f aca="false">IF(COUNTIF('Ref - Booklet Data'!$C$14:$C$19,E24)&gt;0,"Registered","Not in extract")</f>
        <v>Registered</v>
      </c>
      <c r="S24" s="2" t="str">
        <f aca="false">IF(AND(O24="Yes",N24="No"),"Suspected fraud",IF(O24="Yes","Unresolved - RNS with contract",IF(N24="Yes","Legitimate (provisional)","Unresolved - partial docs")))</f>
        <v>Suspected fraud</v>
      </c>
      <c r="T24" s="2" t="str">
        <f aca="false">INDEX('Transaction Evidence'!$F$2:$F$38,MATCH($A24,'Transaction Evidence'!$A$2:$A$38,0))</f>
        <v>Only a Payment Request, transfer evidence, and email/internal instructions are on file for this transaction. No contract, PO/SPK, work/delivery report, or evidence of</v>
      </c>
      <c r="U24" s="2"/>
      <c r="V24" s="2"/>
      <c r="W24" s="2"/>
    </row>
    <row r="25" customFormat="false" ht="15" hidden="false" customHeight="false" outlineLevel="0" collapsed="false">
      <c r="A25" s="2" t="str">
        <f aca="false">'Outgoing Transactions'!B22</f>
        <v>ESM-OUT-021</v>
      </c>
      <c r="B25" s="14" t="n">
        <f aca="false">DATEVALUE('Outgoing Transactions'!C22)</f>
        <v>45321</v>
      </c>
      <c r="C25" s="2" t="str">
        <f aca="false">'Outgoing Transactions'!D22</f>
        <v>ESM-BX-01</v>
      </c>
      <c r="D25" s="2" t="str">
        <f aca="false">'Outgoing Transactions'!F22</f>
        <v>PT Laut Sawu Distribusi</v>
      </c>
      <c r="E25" s="2" t="str">
        <f aca="false">'Outgoing Transactions'!G22</f>
        <v>VND-DI-01</v>
      </c>
      <c r="F25" s="2" t="str">
        <f aca="false">'Outgoing Transactions'!H22</f>
        <v>Bank Cakra</v>
      </c>
      <c r="G25" s="2" t="str">
        <f aca="false">INDEX('Transaction Evidence'!$B$2:$B$38,MATCH($A25,'Transaction Evidence'!$A$2:$A$38,0))</f>
        <v>INV-LS-3110</v>
      </c>
      <c r="H25" s="12" t="n">
        <f aca="false">INDEX('Transaction Evidence'!$D$2:$D$38,MATCH($A25,'Transaction Evidence'!$A$2:$A$38,0))</f>
        <v>500000000</v>
      </c>
      <c r="I25" s="2" t="str">
        <f aca="false">INDEX('Payment Approval'!$E$2:$E$38,MATCH($G25,'Payment Approval'!$B$2:$B$38,0))</f>
        <v>Distribution and logistics services</v>
      </c>
      <c r="J25" s="2" t="str">
        <f aca="false">INDEX('Payment Approval'!$F$2:$F$38,MATCH($G25,'Payment Approval'!$B$2:$B$38,0))</f>
        <v>USR-FIN-02</v>
      </c>
      <c r="K25" s="2" t="str">
        <f aca="false">INDEX('Payment Approval'!$G$2:$G$38,MATCH($G25,'Payment Approval'!$B$2:$B$38,0))</f>
        <v>USR-FIN-02</v>
      </c>
      <c r="L25" s="2" t="str">
        <f aca="false">INDEX('Payment Approval'!$H$2:$H$38,MATCH($G25,'Payment Approval'!$B$2:$B$38,0))</f>
        <v>USR-FIN-02</v>
      </c>
      <c r="M25" s="2" t="str">
        <f aca="false">IF(H25=INDEX('Payment Approval'!$C$2:$C$38,MATCH($G25,'Payment Approval'!$B$2:$B$38,0)),"OK","DIFF")</f>
        <v>OK</v>
      </c>
      <c r="N25" s="2" t="str">
        <f aca="false">IF(ISNUMBER(SEARCH("Contract/PO/SPK; Invoice; Work",INDEX('Transaction Evidence'!$E$2:$E$38,MATCH($A25,'Transaction Evidence'!$A$2:$A$38,0)))),"Yes","No")</f>
        <v>No</v>
      </c>
      <c r="O25" s="2" t="str">
        <f aca="false">IF(D25="PT Rinjani Niaga Sentosa","Yes","No")</f>
        <v>No</v>
      </c>
      <c r="P25" s="2" t="str">
        <f aca="false">IF(AND(J25=K25,K25=L25),"Yes","No")</f>
        <v>Yes</v>
      </c>
      <c r="Q25" s="2" t="str">
        <f aca="false">IF(H25&gt;=$W$1,"Yes","No")</f>
        <v>No</v>
      </c>
      <c r="R25" s="2" t="str">
        <f aca="false">IF(COUNTIF('Ref - Booklet Data'!$C$14:$C$19,E25)&gt;0,"Registered","Not in extract")</f>
        <v>Not in extract</v>
      </c>
      <c r="S25" s="2" t="str">
        <f aca="false">IF(AND(O25="Yes",N25="No"),"Suspected fraud",IF(O25="Yes","Unresolved - RNS with contract",IF(N25="Yes","Legitimate (provisional)","Unresolved - partial docs")))</f>
        <v>Unresolved - partial docs</v>
      </c>
      <c r="T25" s="2" t="str">
        <f aca="false">INDEX('Transaction Evidence'!$F$2:$F$38,MATCH($A25,'Transaction Evidence'!$A$2:$A$38,0))</f>
        <v>An invoice is on file for this transaction. No PO/contract or hand-over report was located.</v>
      </c>
      <c r="U25" s="2"/>
      <c r="V25" s="2"/>
      <c r="W25" s="2"/>
    </row>
    <row r="26" customFormat="false" ht="15" hidden="false" customHeight="false" outlineLevel="0" collapsed="false">
      <c r="A26" s="2" t="str">
        <f aca="false">'Outgoing Transactions'!B23</f>
        <v>ESM-OUT-022</v>
      </c>
      <c r="B26" s="14" t="n">
        <f aca="false">DATEVALUE('Outgoing Transactions'!C23)</f>
        <v>45330</v>
      </c>
      <c r="C26" s="2" t="str">
        <f aca="false">'Outgoing Transactions'!D23</f>
        <v>ESM-BY-01</v>
      </c>
      <c r="D26" s="2" t="str">
        <f aca="false">'Outgoing Transactions'!F23</f>
        <v>PT Laut Timor Properti</v>
      </c>
      <c r="E26" s="2" t="str">
        <f aca="false">'Outgoing Transactions'!G23</f>
        <v>VND-TP-02</v>
      </c>
      <c r="F26" s="2" t="str">
        <f aca="false">'Outgoing Transactions'!H23</f>
        <v>Bank Samudra</v>
      </c>
      <c r="G26" s="2" t="str">
        <f aca="false">INDEX('Transaction Evidence'!$B$2:$B$38,MATCH($A26,'Transaction Evidence'!$A$2:$A$38,0))</f>
        <v>CTR-2024-041</v>
      </c>
      <c r="H26" s="12" t="n">
        <f aca="false">INDEX('Transaction Evidence'!$D$2:$D$38,MATCH($A26,'Transaction Evidence'!$A$2:$A$38,0))</f>
        <v>200000000</v>
      </c>
      <c r="I26" s="2" t="str">
        <f aca="false">INDEX('Payment Approval'!$E$2:$E$38,MATCH($G26,'Payment Approval'!$B$2:$B$38,0))</f>
        <v>Outlet location maintenance</v>
      </c>
      <c r="J26" s="2" t="str">
        <f aca="false">INDEX('Payment Approval'!$F$2:$F$38,MATCH($G26,'Payment Approval'!$B$2:$B$38,0))</f>
        <v>USR-FIN-01</v>
      </c>
      <c r="K26" s="2" t="str">
        <f aca="false">INDEX('Payment Approval'!$G$2:$G$38,MATCH($G26,'Payment Approval'!$B$2:$B$38,0))</f>
        <v>USR-FIN-02</v>
      </c>
      <c r="L26" s="2" t="str">
        <f aca="false">INDEX('Payment Approval'!$H$2:$H$38,MATCH($G26,'Payment Approval'!$B$2:$B$38,0))</f>
        <v>USR-FIN-02</v>
      </c>
      <c r="M26" s="2" t="str">
        <f aca="false">IF(H26=INDEX('Payment Approval'!$C$2:$C$38,MATCH($G26,'Payment Approval'!$B$2:$B$38,0)),"OK","DIFF")</f>
        <v>OK</v>
      </c>
      <c r="N26" s="2" t="str">
        <f aca="false">IF(ISNUMBER(SEARCH("Contract/PO/SPK; Invoice; Work",INDEX('Transaction Evidence'!$E$2:$E$38,MATCH($A26,'Transaction Evidence'!$A$2:$A$38,0)))),"Yes","No")</f>
        <v>Yes</v>
      </c>
      <c r="O26" s="2" t="str">
        <f aca="false">IF(D26="PT Rinjani Niaga Sentosa","Yes","No")</f>
        <v>No</v>
      </c>
      <c r="P26" s="2" t="str">
        <f aca="false">IF(AND(J26=K26,K26=L26),"Yes","No")</f>
        <v>No</v>
      </c>
      <c r="Q26" s="2" t="str">
        <f aca="false">IF(H26&gt;=$W$1,"Yes","No")</f>
        <v>No</v>
      </c>
      <c r="R26" s="2" t="str">
        <f aca="false">IF(COUNTIF('Ref - Booklet Data'!$C$14:$C$19,E26)&gt;0,"Registered","Not in extract")</f>
        <v>Not in extract</v>
      </c>
      <c r="S26" s="2" t="str">
        <f aca="false">IF(AND(O26="Yes",N26="No"),"Suspected fraud",IF(O26="Yes","Unresolved - RNS with contract",IF(N26="Yes","Legitimate (provisional)","Unresolved - partial docs")))</f>
        <v>Legitimate (provisional)</v>
      </c>
      <c r="T26" s="2" t="str">
        <f aca="false">INDEX('Transaction Evidence'!$F$2:$F$38,MATCH($A26,'Transaction Evidence'!$A$2:$A$38,0))</f>
        <v>Contract/PO/SPK, invoice, work/hand-over report, evidence of receipt of goods/services, and Board of Directors approval are on file for this transaction.</v>
      </c>
      <c r="U26" s="2"/>
      <c r="V26" s="2"/>
      <c r="W26" s="2"/>
    </row>
    <row r="27" customFormat="false" ht="15" hidden="false" customHeight="false" outlineLevel="0" collapsed="false">
      <c r="A27" s="2" t="str">
        <f aca="false">'Outgoing Transactions'!B24</f>
        <v>ESM-OUT-023</v>
      </c>
      <c r="B27" s="14" t="n">
        <f aca="false">DATEVALUE('Outgoing Transactions'!C24)</f>
        <v>45345</v>
      </c>
      <c r="C27" s="2" t="str">
        <f aca="false">'Outgoing Transactions'!D24</f>
        <v>ESM-BX-01</v>
      </c>
      <c r="D27" s="2" t="str">
        <f aca="false">'Outgoing Transactions'!F24</f>
        <v>PT Rinjani Niaga Sentosa</v>
      </c>
      <c r="E27" s="2" t="str">
        <f aca="false">'Outgoing Transactions'!G24</f>
        <v>RNS-BR-01</v>
      </c>
      <c r="F27" s="2" t="str">
        <f aca="false">'Outgoing Transactions'!H24</f>
        <v>Bank Rinjani</v>
      </c>
      <c r="G27" s="2" t="str">
        <f aca="false">INDEX('Transaction Evidence'!$B$2:$B$38,MATCH($A27,'Transaction Evidence'!$A$2:$A$38,0))</f>
        <v>REQ-RNS-008</v>
      </c>
      <c r="H27" s="12" t="n">
        <f aca="false">INDEX('Transaction Evidence'!$D$2:$D$38,MATCH($A27,'Transaction Evidence'!$A$2:$A$38,0))</f>
        <v>850000000</v>
      </c>
      <c r="I27" s="2" t="str">
        <f aca="false">INDEX('Payment Approval'!$E$2:$E$38,MATCH($G27,'Payment Approval'!$B$2:$B$38,0))</f>
        <v>Development cost payment</v>
      </c>
      <c r="J27" s="2" t="str">
        <f aca="false">INDEX('Payment Approval'!$F$2:$F$38,MATCH($G27,'Payment Approval'!$B$2:$B$38,0))</f>
        <v>USR-FIN-02</v>
      </c>
      <c r="K27" s="2" t="str">
        <f aca="false">INDEX('Payment Approval'!$G$2:$G$38,MATCH($G27,'Payment Approval'!$B$2:$B$38,0))</f>
        <v>USR-FIN-02</v>
      </c>
      <c r="L27" s="2" t="str">
        <f aca="false">INDEX('Payment Approval'!$H$2:$H$38,MATCH($G27,'Payment Approval'!$B$2:$B$38,0))</f>
        <v>USR-FIN-02</v>
      </c>
      <c r="M27" s="2" t="str">
        <f aca="false">IF(H27=INDEX('Payment Approval'!$C$2:$C$38,MATCH($G27,'Payment Approval'!$B$2:$B$38,0)),"OK","DIFF")</f>
        <v>OK</v>
      </c>
      <c r="N27" s="2" t="str">
        <f aca="false">IF(ISNUMBER(SEARCH("Contract/PO/SPK; Invoice; Work",INDEX('Transaction Evidence'!$E$2:$E$38,MATCH($A27,'Transaction Evidence'!$A$2:$A$38,0)))),"Yes","No")</f>
        <v>No</v>
      </c>
      <c r="O27" s="2" t="str">
        <f aca="false">IF(D27="PT Rinjani Niaga Sentosa","Yes","No")</f>
        <v>Yes</v>
      </c>
      <c r="P27" s="2" t="str">
        <f aca="false">IF(AND(J27=K27,K27=L27),"Yes","No")</f>
        <v>Yes</v>
      </c>
      <c r="Q27" s="2" t="str">
        <f aca="false">IF(H27&gt;=$W$1,"Yes","No")</f>
        <v>No</v>
      </c>
      <c r="R27" s="2" t="str">
        <f aca="false">IF(COUNTIF('Ref - Booklet Data'!$C$14:$C$19,E27)&gt;0,"Registered","Not in extract")</f>
        <v>Registered</v>
      </c>
      <c r="S27" s="2" t="str">
        <f aca="false">IF(AND(O27="Yes",N27="No"),"Suspected fraud",IF(O27="Yes","Unresolved - RNS with contract",IF(N27="Yes","Legitimate (provisional)","Unresolved - partial docs")))</f>
        <v>Suspected fraud</v>
      </c>
      <c r="T27" s="2" t="str">
        <f aca="false">INDEX('Transaction Evidence'!$F$2:$F$38,MATCH($A27,'Transaction Evidence'!$A$2:$A$38,0))</f>
        <v>Only a Payment Request, transfer evidence, and email/internal instructions are on file for this transaction. No contract, PO/SPK, work/delivery report, or evidence of</v>
      </c>
      <c r="U27" s="2"/>
      <c r="V27" s="2"/>
      <c r="W27" s="2"/>
    </row>
    <row r="28" customFormat="false" ht="15" hidden="false" customHeight="false" outlineLevel="0" collapsed="false">
      <c r="A28" s="2" t="str">
        <f aca="false">'Outgoing Transactions'!B25</f>
        <v>ESM-OUT-024</v>
      </c>
      <c r="B28" s="14" t="n">
        <f aca="false">DATEVALUE('Outgoing Transactions'!C25)</f>
        <v>45372</v>
      </c>
      <c r="C28" s="2" t="str">
        <f aca="false">'Outgoing Transactions'!D25</f>
        <v>ESM-BY-01</v>
      </c>
      <c r="D28" s="2" t="str">
        <f aca="false">'Outgoing Transactions'!F25</f>
        <v>PT Rinjani Niaga Sentosa</v>
      </c>
      <c r="E28" s="2" t="str">
        <f aca="false">'Outgoing Transactions'!G25</f>
        <v>RNS-BR-01</v>
      </c>
      <c r="F28" s="2" t="str">
        <f aca="false">'Outgoing Transactions'!H25</f>
        <v>Bank Rinjani</v>
      </c>
      <c r="G28" s="2" t="str">
        <f aca="false">INDEX('Transaction Evidence'!$B$2:$B$38,MATCH($A28,'Transaction Evidence'!$A$2:$A$38,0))</f>
        <v>REQ-RNS-012</v>
      </c>
      <c r="H28" s="12" t="n">
        <f aca="false">INDEX('Transaction Evidence'!$D$2:$D$38,MATCH($A28,'Transaction Evidence'!$A$2:$A$38,0))</f>
        <v>800000000</v>
      </c>
      <c r="I28" s="2" t="str">
        <f aca="false">INDEX('Payment Approval'!$E$2:$E$38,MATCH($G28,'Payment Approval'!$B$2:$B$38,0))</f>
        <v>Expansion activity payment</v>
      </c>
      <c r="J28" s="2" t="str">
        <f aca="false">INDEX('Payment Approval'!$F$2:$F$38,MATCH($G28,'Payment Approval'!$B$2:$B$38,0))</f>
        <v>USR-FIN-02</v>
      </c>
      <c r="K28" s="2" t="str">
        <f aca="false">INDEX('Payment Approval'!$G$2:$G$38,MATCH($G28,'Payment Approval'!$B$2:$B$38,0))</f>
        <v>USR-FIN-02</v>
      </c>
      <c r="L28" s="2" t="str">
        <f aca="false">INDEX('Payment Approval'!$H$2:$H$38,MATCH($G28,'Payment Approval'!$B$2:$B$38,0))</f>
        <v>USR-FIN-02</v>
      </c>
      <c r="M28" s="2" t="str">
        <f aca="false">IF(H28=INDEX('Payment Approval'!$C$2:$C$38,MATCH($G28,'Payment Approval'!$B$2:$B$38,0)),"OK","DIFF")</f>
        <v>OK</v>
      </c>
      <c r="N28" s="2" t="str">
        <f aca="false">IF(ISNUMBER(SEARCH("Contract/PO/SPK; Invoice; Work",INDEX('Transaction Evidence'!$E$2:$E$38,MATCH($A28,'Transaction Evidence'!$A$2:$A$38,0)))),"Yes","No")</f>
        <v>No</v>
      </c>
      <c r="O28" s="2" t="str">
        <f aca="false">IF(D28="PT Rinjani Niaga Sentosa","Yes","No")</f>
        <v>Yes</v>
      </c>
      <c r="P28" s="2" t="str">
        <f aca="false">IF(AND(J28=K28,K28=L28),"Yes","No")</f>
        <v>Yes</v>
      </c>
      <c r="Q28" s="2" t="str">
        <f aca="false">IF(H28&gt;=$W$1,"Yes","No")</f>
        <v>No</v>
      </c>
      <c r="R28" s="2" t="str">
        <f aca="false">IF(COUNTIF('Ref - Booklet Data'!$C$14:$C$19,E28)&gt;0,"Registered","Not in extract")</f>
        <v>Registered</v>
      </c>
      <c r="S28" s="2" t="str">
        <f aca="false">IF(AND(O28="Yes",N28="No"),"Suspected fraud",IF(O28="Yes","Unresolved - RNS with contract",IF(N28="Yes","Legitimate (provisional)","Unresolved - partial docs")))</f>
        <v>Suspected fraud</v>
      </c>
      <c r="T28" s="2" t="str">
        <f aca="false">INDEX('Transaction Evidence'!$F$2:$F$38,MATCH($A28,'Transaction Evidence'!$A$2:$A$38,0))</f>
        <v>Only a Payment Request, transfer evidence, and email/internal instructions are on file for this transaction. No contract, PO/SPK, work/delivery report, or evidence of</v>
      </c>
      <c r="U28" s="2"/>
      <c r="V28" s="2"/>
      <c r="W28" s="2"/>
    </row>
    <row r="29" customFormat="false" ht="15" hidden="false" customHeight="false" outlineLevel="0" collapsed="false">
      <c r="A29" s="2" t="str">
        <f aca="false">'Outgoing Transactions'!B26</f>
        <v>ESM-OUT-025</v>
      </c>
      <c r="B29" s="14" t="n">
        <f aca="false">DATEVALUE('Outgoing Transactions'!C26)</f>
        <v>45378</v>
      </c>
      <c r="C29" s="2" t="str">
        <f aca="false">'Outgoing Transactions'!D26</f>
        <v>ESM-BX-01</v>
      </c>
      <c r="D29" s="2" t="str">
        <f aca="false">'Outgoing Transactions'!F26</f>
        <v>PT Laut Maluku Proyek</v>
      </c>
      <c r="E29" s="2" t="str">
        <f aca="false">'Outgoing Transactions'!G26</f>
        <v>VND-PJ-01</v>
      </c>
      <c r="F29" s="2" t="str">
        <f aca="false">'Outgoing Transactions'!H26</f>
        <v>Bank Cakra</v>
      </c>
      <c r="G29" s="2" t="str">
        <f aca="false">INDEX('Transaction Evidence'!$B$2:$B$38,MATCH($A29,'Transaction Evidence'!$A$2:$A$38,0))</f>
        <v>INV-LM-0824A</v>
      </c>
      <c r="H29" s="12" t="n">
        <f aca="false">INDEX('Transaction Evidence'!$D$2:$D$38,MATCH($A29,'Transaction Evidence'!$A$2:$A$38,0))</f>
        <v>500000000</v>
      </c>
      <c r="I29" s="2" t="str">
        <f aca="false">INDEX('Payment Approval'!$E$2:$E$38,MATCH($G29,'Payment Approval'!$B$2:$B$38,0))</f>
        <v>Renovation project work</v>
      </c>
      <c r="J29" s="2" t="str">
        <f aca="false">INDEX('Payment Approval'!$F$2:$F$38,MATCH($G29,'Payment Approval'!$B$2:$B$38,0))</f>
        <v>USR-FIN-02</v>
      </c>
      <c r="K29" s="2" t="str">
        <f aca="false">INDEX('Payment Approval'!$G$2:$G$38,MATCH($G29,'Payment Approval'!$B$2:$B$38,0))</f>
        <v>USR-FIN-02</v>
      </c>
      <c r="L29" s="2" t="str">
        <f aca="false">INDEX('Payment Approval'!$H$2:$H$38,MATCH($G29,'Payment Approval'!$B$2:$B$38,0))</f>
        <v>USR-FIN-02</v>
      </c>
      <c r="M29" s="2" t="str">
        <f aca="false">IF(H29=INDEX('Payment Approval'!$C$2:$C$38,MATCH($G29,'Payment Approval'!$B$2:$B$38,0)),"OK","DIFF")</f>
        <v>OK</v>
      </c>
      <c r="N29" s="2" t="str">
        <f aca="false">IF(ISNUMBER(SEARCH("Contract/PO/SPK; Invoice; Work",INDEX('Transaction Evidence'!$E$2:$E$38,MATCH($A29,'Transaction Evidence'!$A$2:$A$38,0)))),"Yes","No")</f>
        <v>No</v>
      </c>
      <c r="O29" s="2" t="str">
        <f aca="false">IF(D29="PT Rinjani Niaga Sentosa","Yes","No")</f>
        <v>No</v>
      </c>
      <c r="P29" s="2" t="str">
        <f aca="false">IF(AND(J29=K29,K29=L29),"Yes","No")</f>
        <v>Yes</v>
      </c>
      <c r="Q29" s="2" t="str">
        <f aca="false">IF(H29&gt;=$W$1,"Yes","No")</f>
        <v>No</v>
      </c>
      <c r="R29" s="2" t="str">
        <f aca="false">IF(COUNTIF('Ref - Booklet Data'!$C$14:$C$19,E29)&gt;0,"Registered","Not in extract")</f>
        <v>Registered</v>
      </c>
      <c r="S29" s="2" t="str">
        <f aca="false">IF(AND(O29="Yes",N29="No"),"Suspected fraud",IF(O29="Yes","Unresolved - RNS with contract",IF(N29="Yes","Legitimate (provisional)","Unresolved - partial docs")))</f>
        <v>Unresolved - partial docs</v>
      </c>
      <c r="T29" s="2" t="str">
        <f aca="false">INDEX('Transaction Evidence'!$F$2:$F$38,MATCH($A29,'Transaction Evidence'!$A$2:$A$38,0))</f>
        <v>An invoice and work photos are on file for this transaction. No contract/PO, work report, or milestone evidence was located.</v>
      </c>
      <c r="U29" s="2"/>
      <c r="V29" s="2"/>
      <c r="W29" s="2"/>
    </row>
    <row r="30" customFormat="false" ht="15" hidden="false" customHeight="false" outlineLevel="0" collapsed="false">
      <c r="A30" s="2" t="str">
        <f aca="false">'Outgoing Transactions'!B27</f>
        <v>ESM-OUT-026</v>
      </c>
      <c r="B30" s="14" t="n">
        <f aca="false">DATEVALUE('Outgoing Transactions'!C27)</f>
        <v>45404</v>
      </c>
      <c r="C30" s="2" t="str">
        <f aca="false">'Outgoing Transactions'!D27</f>
        <v>ESM-BY-01</v>
      </c>
      <c r="D30" s="2" t="str">
        <f aca="false">'Outgoing Transactions'!F27</f>
        <v>PT Rinjani Niaga Sentosa</v>
      </c>
      <c r="E30" s="2" t="str">
        <f aca="false">'Outgoing Transactions'!G27</f>
        <v>RNS-BR-01</v>
      </c>
      <c r="F30" s="2" t="str">
        <f aca="false">'Outgoing Transactions'!H27</f>
        <v>Bank Rinjani</v>
      </c>
      <c r="G30" s="2" t="str">
        <f aca="false">INDEX('Transaction Evidence'!$B$2:$B$38,MATCH($A30,'Transaction Evidence'!$A$2:$A$38,0))</f>
        <v>CTR-RNS-2024-01</v>
      </c>
      <c r="H30" s="12" t="n">
        <f aca="false">INDEX('Transaction Evidence'!$D$2:$D$38,MATCH($A30,'Transaction Evidence'!$A$2:$A$38,0))</f>
        <v>500000000</v>
      </c>
      <c r="I30" s="2" t="str">
        <f aca="false">INDEX('Payment Approval'!$E$2:$E$38,MATCH($G30,'Payment Approval'!$B$2:$B$38,0))</f>
        <v>Area expansion coordination services</v>
      </c>
      <c r="J30" s="2" t="str">
        <f aca="false">INDEX('Payment Approval'!$F$2:$F$38,MATCH($G30,'Payment Approval'!$B$2:$B$38,0))</f>
        <v>USR-FIN-02</v>
      </c>
      <c r="K30" s="2" t="str">
        <f aca="false">INDEX('Payment Approval'!$G$2:$G$38,MATCH($G30,'Payment Approval'!$B$2:$B$38,0))</f>
        <v>USR-FIN-02</v>
      </c>
      <c r="L30" s="2" t="str">
        <f aca="false">INDEX('Payment Approval'!$H$2:$H$38,MATCH($G30,'Payment Approval'!$B$2:$B$38,0))</f>
        <v>USR-FIN-02</v>
      </c>
      <c r="M30" s="2" t="str">
        <f aca="false">IF(H30=INDEX('Payment Approval'!$C$2:$C$38,MATCH($G30,'Payment Approval'!$B$2:$B$38,0)),"OK","DIFF")</f>
        <v>OK</v>
      </c>
      <c r="N30" s="2" t="str">
        <f aca="false">IF(ISNUMBER(SEARCH("Contract/PO/SPK; Invoice; Work",INDEX('Transaction Evidence'!$E$2:$E$38,MATCH($A30,'Transaction Evidence'!$A$2:$A$38,0)))),"Yes","No")</f>
        <v>Yes</v>
      </c>
      <c r="O30" s="2" t="str">
        <f aca="false">IF(D30="PT Rinjani Niaga Sentosa","Yes","No")</f>
        <v>Yes</v>
      </c>
      <c r="P30" s="2" t="str">
        <f aca="false">IF(AND(J30=K30,K30=L30),"Yes","No")</f>
        <v>Yes</v>
      </c>
      <c r="Q30" s="2" t="str">
        <f aca="false">IF(H30&gt;=$W$1,"Yes","No")</f>
        <v>No</v>
      </c>
      <c r="R30" s="2" t="str">
        <f aca="false">IF(COUNTIF('Ref - Booklet Data'!$C$14:$C$19,E30)&gt;0,"Registered","Not in extract")</f>
        <v>Registered</v>
      </c>
      <c r="S30" s="2" t="str">
        <f aca="false">IF(AND(O30="Yes",N30="No"),"Suspected fraud",IF(O30="Yes","Unresolved - RNS with contract",IF(N30="Yes","Legitimate (provisional)","Unresolved - partial docs")))</f>
        <v>Unresolved - RNS with contract</v>
      </c>
      <c r="T30" s="2" t="str">
        <f aca="false">INDEX('Transaction Evidence'!$F$2:$F$38,MATCH($A30,'Transaction Evidence'!$A$2:$A$38,0))</f>
        <v>Contract/PO/SPK, invoice, work/hand-over report, evidence of receipt of goods/services, and Board of Directors approval are on file for this transaction.</v>
      </c>
      <c r="U30" s="2"/>
      <c r="V30" s="2"/>
      <c r="W30" s="2"/>
    </row>
    <row r="31" customFormat="false" ht="15" hidden="false" customHeight="false" outlineLevel="0" collapsed="false">
      <c r="A31" s="2" t="str">
        <f aca="false">'Outgoing Transactions'!B28</f>
        <v>ESM-OUT-027</v>
      </c>
      <c r="B31" s="14" t="n">
        <f aca="false">DATEVALUE('Outgoing Transactions'!C28)</f>
        <v>45426</v>
      </c>
      <c r="C31" s="2" t="str">
        <f aca="false">'Outgoing Transactions'!D28</f>
        <v>ESM-BX-01</v>
      </c>
      <c r="D31" s="2" t="str">
        <f aca="false">'Outgoing Transactions'!F28</f>
        <v>PT Rinjani Niaga Sentosa</v>
      </c>
      <c r="E31" s="2" t="str">
        <f aca="false">'Outgoing Transactions'!G28</f>
        <v>RNS-BR-01</v>
      </c>
      <c r="F31" s="2" t="str">
        <f aca="false">'Outgoing Transactions'!H28</f>
        <v>Bank Rinjani</v>
      </c>
      <c r="G31" s="2" t="str">
        <f aca="false">INDEX('Transaction Evidence'!$B$2:$B$38,MATCH($A31,'Transaction Evidence'!$A$2:$A$38,0))</f>
        <v>REQ-RNS-004</v>
      </c>
      <c r="H31" s="12" t="n">
        <f aca="false">INDEX('Transaction Evidence'!$D$2:$D$38,MATCH($A31,'Transaction Evidence'!$A$2:$A$38,0))</f>
        <v>850000000</v>
      </c>
      <c r="I31" s="2" t="str">
        <f aca="false">INDEX('Payment Approval'!$E$2:$E$38,MATCH($G31,'Payment Approval'!$B$2:$B$38,0))</f>
        <v>Expansion needs management</v>
      </c>
      <c r="J31" s="2" t="str">
        <f aca="false">INDEX('Payment Approval'!$F$2:$F$38,MATCH($G31,'Payment Approval'!$B$2:$B$38,0))</f>
        <v>USR-FIN-02</v>
      </c>
      <c r="K31" s="2" t="str">
        <f aca="false">INDEX('Payment Approval'!$G$2:$G$38,MATCH($G31,'Payment Approval'!$B$2:$B$38,0))</f>
        <v>USR-FIN-02</v>
      </c>
      <c r="L31" s="2" t="str">
        <f aca="false">INDEX('Payment Approval'!$H$2:$H$38,MATCH($G31,'Payment Approval'!$B$2:$B$38,0))</f>
        <v>USR-FIN-02</v>
      </c>
      <c r="M31" s="2" t="str">
        <f aca="false">IF(H31=INDEX('Payment Approval'!$C$2:$C$38,MATCH($G31,'Payment Approval'!$B$2:$B$38,0)),"OK","DIFF")</f>
        <v>OK</v>
      </c>
      <c r="N31" s="2" t="str">
        <f aca="false">IF(ISNUMBER(SEARCH("Contract/PO/SPK; Invoice; Work",INDEX('Transaction Evidence'!$E$2:$E$38,MATCH($A31,'Transaction Evidence'!$A$2:$A$38,0)))),"Yes","No")</f>
        <v>No</v>
      </c>
      <c r="O31" s="2" t="str">
        <f aca="false">IF(D31="PT Rinjani Niaga Sentosa","Yes","No")</f>
        <v>Yes</v>
      </c>
      <c r="P31" s="2" t="str">
        <f aca="false">IF(AND(J31=K31,K31=L31),"Yes","No")</f>
        <v>Yes</v>
      </c>
      <c r="Q31" s="2" t="str">
        <f aca="false">IF(H31&gt;=$W$1,"Yes","No")</f>
        <v>No</v>
      </c>
      <c r="R31" s="2" t="str">
        <f aca="false">IF(COUNTIF('Ref - Booklet Data'!$C$14:$C$19,E31)&gt;0,"Registered","Not in extract")</f>
        <v>Registered</v>
      </c>
      <c r="S31" s="2" t="str">
        <f aca="false">IF(AND(O31="Yes",N31="No"),"Suspected fraud",IF(O31="Yes","Unresolved - RNS with contract",IF(N31="Yes","Legitimate (provisional)","Unresolved - partial docs")))</f>
        <v>Suspected fraud</v>
      </c>
      <c r="T31" s="2" t="str">
        <f aca="false">INDEX('Transaction Evidence'!$F$2:$F$38,MATCH($A31,'Transaction Evidence'!$A$2:$A$38,0))</f>
        <v>Only a Payment Request, transfer evidence, and email/internal instructions are on file for this transaction. No contract, PO/SPK, work/delivery report, or evidence of</v>
      </c>
      <c r="U31" s="2"/>
      <c r="V31" s="2"/>
      <c r="W31" s="2"/>
    </row>
    <row r="32" customFormat="false" ht="15" hidden="false" customHeight="false" outlineLevel="0" collapsed="false">
      <c r="A32" s="2" t="str">
        <f aca="false">'Outgoing Transactions'!B29</f>
        <v>ESM-OUT-028</v>
      </c>
      <c r="B32" s="14" t="n">
        <f aca="false">DATEVALUE('Outgoing Transactions'!C29)</f>
        <v>45440</v>
      </c>
      <c r="C32" s="2" t="str">
        <f aca="false">'Outgoing Transactions'!D29</f>
        <v>ESM-BY-01</v>
      </c>
      <c r="D32" s="2" t="str">
        <f aca="false">'Outgoing Transactions'!F29</f>
        <v>PT Laut Banda Pangan</v>
      </c>
      <c r="E32" s="2" t="str">
        <f aca="false">'Outgoing Transactions'!G29</f>
        <v>VND-BD-04</v>
      </c>
      <c r="F32" s="2" t="str">
        <f aca="false">'Outgoing Transactions'!H29</f>
        <v>Bank Cakra</v>
      </c>
      <c r="G32" s="2" t="str">
        <f aca="false">INDEX('Transaction Evidence'!$B$2:$B$38,MATCH($A32,'Transaction Evidence'!$A$2:$A$38,0))</f>
        <v>INV-BP-0528</v>
      </c>
      <c r="H32" s="12" t="n">
        <f aca="false">INDEX('Transaction Evidence'!$D$2:$D$38,MATCH($A32,'Transaction Evidence'!$A$2:$A$38,0))</f>
        <v>300000000</v>
      </c>
      <c r="I32" s="2" t="str">
        <f aca="false">INDEX('Payment Approval'!$E$2:$E$38,MATCH($G32,'Payment Approval'!$B$2:$B$38,0))</f>
        <v>Raw material procurement</v>
      </c>
      <c r="J32" s="2" t="str">
        <f aca="false">INDEX('Payment Approval'!$F$2:$F$38,MATCH($G32,'Payment Approval'!$B$2:$B$38,0))</f>
        <v>USR-FIN-02</v>
      </c>
      <c r="K32" s="2" t="str">
        <f aca="false">INDEX('Payment Approval'!$G$2:$G$38,MATCH($G32,'Payment Approval'!$B$2:$B$38,0))</f>
        <v>USR-FIN-02</v>
      </c>
      <c r="L32" s="2" t="str">
        <f aca="false">INDEX('Payment Approval'!$H$2:$H$38,MATCH($G32,'Payment Approval'!$B$2:$B$38,0))</f>
        <v>USR-FIN-02</v>
      </c>
      <c r="M32" s="2" t="str">
        <f aca="false">IF(H32=INDEX('Payment Approval'!$C$2:$C$38,MATCH($G32,'Payment Approval'!$B$2:$B$38,0)),"OK","DIFF")</f>
        <v>OK</v>
      </c>
      <c r="N32" s="2" t="str">
        <f aca="false">IF(ISNUMBER(SEARCH("Contract/PO/SPK; Invoice; Work",INDEX('Transaction Evidence'!$E$2:$E$38,MATCH($A32,'Transaction Evidence'!$A$2:$A$38,0)))),"Yes","No")</f>
        <v>No</v>
      </c>
      <c r="O32" s="2" t="str">
        <f aca="false">IF(D32="PT Rinjani Niaga Sentosa","Yes","No")</f>
        <v>No</v>
      </c>
      <c r="P32" s="2" t="str">
        <f aca="false">IF(AND(J32=K32,K32=L32),"Yes","No")</f>
        <v>Yes</v>
      </c>
      <c r="Q32" s="2" t="str">
        <f aca="false">IF(H32&gt;=$W$1,"Yes","No")</f>
        <v>No</v>
      </c>
      <c r="R32" s="2" t="str">
        <f aca="false">IF(COUNTIF('Ref - Booklet Data'!$C$14:$C$19,E32)&gt;0,"Registered","Not in extract")</f>
        <v>Not in extract</v>
      </c>
      <c r="S32" s="2" t="str">
        <f aca="false">IF(AND(O32="Yes",N32="No"),"Suspected fraud",IF(O32="Yes","Unresolved - RNS with contract",IF(N32="Yes","Legitimate (provisional)","Unresolved - partial docs")))</f>
        <v>Unresolved - partial docs</v>
      </c>
      <c r="T32" s="2" t="str">
        <f aca="false">INDEX('Transaction Evidence'!$F$2:$F$38,MATCH($A32,'Transaction Evidence'!$A$2:$A$38,0))</f>
        <v>An invoice and delivery note are on file for this transaction. No PO or receipt report was located.</v>
      </c>
      <c r="U32" s="2"/>
      <c r="V32" s="2"/>
      <c r="W32" s="2"/>
    </row>
    <row r="33" customFormat="false" ht="15" hidden="false" customHeight="false" outlineLevel="0" collapsed="false">
      <c r="A33" s="2" t="str">
        <f aca="false">'Outgoing Transactions'!B30</f>
        <v>ESM-OUT-029</v>
      </c>
      <c r="B33" s="14" t="n">
        <f aca="false">DATEVALUE('Outgoing Transactions'!C30)</f>
        <v>45460</v>
      </c>
      <c r="C33" s="2" t="str">
        <f aca="false">'Outgoing Transactions'!D30</f>
        <v>ESM-BX-01</v>
      </c>
      <c r="D33" s="2" t="str">
        <f aca="false">'Outgoing Transactions'!F30</f>
        <v>PT Laut Jawa Tomasan</v>
      </c>
      <c r="E33" s="2" t="str">
        <f aca="false">'Outgoing Transactions'!G30</f>
        <v>VND-KM-01</v>
      </c>
      <c r="F33" s="2" t="str">
        <f aca="false">'Outgoing Transactions'!H30</f>
        <v>Bank Samudra</v>
      </c>
      <c r="G33" s="2" t="str">
        <f aca="false">INDEX('Transaction Evidence'!$B$2:$B$38,MATCH($A33,'Transaction Evidence'!$A$2:$A$38,0))</f>
        <v>CTR-2024-027</v>
      </c>
      <c r="H33" s="12" t="n">
        <f aca="false">INDEX('Transaction Evidence'!$D$2:$D$38,MATCH($A33,'Transaction Evidence'!$A$2:$A$38,0))</f>
        <v>300000000</v>
      </c>
      <c r="I33" s="2" t="str">
        <f aca="false">INDEX('Payment Approval'!$E$2:$E$38,MATCH($G33,'Payment Approval'!$B$2:$B$38,0))</f>
        <v>Packaging procurement</v>
      </c>
      <c r="J33" s="2" t="str">
        <f aca="false">INDEX('Payment Approval'!$F$2:$F$38,MATCH($G33,'Payment Approval'!$B$2:$B$38,0))</f>
        <v>USR-FIN-02</v>
      </c>
      <c r="K33" s="2" t="str">
        <f aca="false">INDEX('Payment Approval'!$G$2:$G$38,MATCH($G33,'Payment Approval'!$B$2:$B$38,0))</f>
        <v>USR-FIN-02</v>
      </c>
      <c r="L33" s="2" t="str">
        <f aca="false">INDEX('Payment Approval'!$H$2:$H$38,MATCH($G33,'Payment Approval'!$B$2:$B$38,0))</f>
        <v>USR-FIN-02</v>
      </c>
      <c r="M33" s="2" t="str">
        <f aca="false">IF(H33=INDEX('Payment Approval'!$C$2:$C$38,MATCH($G33,'Payment Approval'!$B$2:$B$38,0)),"OK","DIFF")</f>
        <v>OK</v>
      </c>
      <c r="N33" s="2" t="str">
        <f aca="false">IF(ISNUMBER(SEARCH("Contract/PO/SPK; Invoice; Work",INDEX('Transaction Evidence'!$E$2:$E$38,MATCH($A33,'Transaction Evidence'!$A$2:$A$38,0)))),"Yes","No")</f>
        <v>Yes</v>
      </c>
      <c r="O33" s="2" t="str">
        <f aca="false">IF(D33="PT Rinjani Niaga Sentosa","Yes","No")</f>
        <v>No</v>
      </c>
      <c r="P33" s="2" t="str">
        <f aca="false">IF(AND(J33=K33,K33=L33),"Yes","No")</f>
        <v>Yes</v>
      </c>
      <c r="Q33" s="2" t="str">
        <f aca="false">IF(H33&gt;=$W$1,"Yes","No")</f>
        <v>No</v>
      </c>
      <c r="R33" s="2" t="str">
        <f aca="false">IF(COUNTIF('Ref - Booklet Data'!$C$14:$C$19,E33)&gt;0,"Registered","Not in extract")</f>
        <v>Registered</v>
      </c>
      <c r="S33" s="2" t="str">
        <f aca="false">IF(AND(O33="Yes",N33="No"),"Suspected fraud",IF(O33="Yes","Unresolved - RNS with contract",IF(N33="Yes","Legitimate (provisional)","Unresolved - partial docs")))</f>
        <v>Legitimate (provisional)</v>
      </c>
      <c r="T33" s="2" t="str">
        <f aca="false">INDEX('Transaction Evidence'!$F$2:$F$38,MATCH($A33,'Transaction Evidence'!$A$2:$A$38,0))</f>
        <v>Contract/PO/SPK, invoice, work/hand-over report, evidence of receipt of goods/services, and Board of Directors approval are on file for this transaction.</v>
      </c>
      <c r="U33" s="2"/>
      <c r="V33" s="2"/>
      <c r="W33" s="2"/>
    </row>
    <row r="34" customFormat="false" ht="15" hidden="false" customHeight="false" outlineLevel="0" collapsed="false">
      <c r="A34" s="2" t="str">
        <f aca="false">'Outgoing Transactions'!B31</f>
        <v>ESM-OUT-030</v>
      </c>
      <c r="B34" s="14" t="n">
        <f aca="false">DATEVALUE('Outgoing Transactions'!C31)</f>
        <v>45492</v>
      </c>
      <c r="C34" s="2" t="str">
        <f aca="false">'Outgoing Transactions'!D31</f>
        <v>ESM-BY-01</v>
      </c>
      <c r="D34" s="2" t="str">
        <f aca="false">'Outgoing Transactions'!F31</f>
        <v>PT Rinjani Niaga Sentosa</v>
      </c>
      <c r="E34" s="2" t="str">
        <f aca="false">'Outgoing Transactions'!G31</f>
        <v>RNS-BR-01</v>
      </c>
      <c r="F34" s="2" t="str">
        <f aca="false">'Outgoing Transactions'!H31</f>
        <v>Bank Rinjani</v>
      </c>
      <c r="G34" s="2" t="str">
        <f aca="false">INDEX('Transaction Evidence'!$B$2:$B$38,MATCH($A34,'Transaction Evidence'!$A$2:$A$38,0))</f>
        <v>REQ-RNS-014</v>
      </c>
      <c r="H34" s="12" t="n">
        <f aca="false">INDEX('Transaction Evidence'!$D$2:$D$38,MATCH($A34,'Transaction Evidence'!$A$2:$A$38,0))</f>
        <v>975000000</v>
      </c>
      <c r="I34" s="2" t="str">
        <f aca="false">INDEX('Payment Approval'!$E$2:$E$38,MATCH($G34,'Payment Approval'!$B$2:$B$38,0))</f>
        <v>Development cost reallocation</v>
      </c>
      <c r="J34" s="2" t="str">
        <f aca="false">INDEX('Payment Approval'!$F$2:$F$38,MATCH($G34,'Payment Approval'!$B$2:$B$38,0))</f>
        <v>USR-FIN-02</v>
      </c>
      <c r="K34" s="2" t="str">
        <f aca="false">INDEX('Payment Approval'!$G$2:$G$38,MATCH($G34,'Payment Approval'!$B$2:$B$38,0))</f>
        <v>USR-FIN-02</v>
      </c>
      <c r="L34" s="2" t="str">
        <f aca="false">INDEX('Payment Approval'!$H$2:$H$38,MATCH($G34,'Payment Approval'!$B$2:$B$38,0))</f>
        <v>USR-FIN-02</v>
      </c>
      <c r="M34" s="2" t="str">
        <f aca="false">IF(H34=INDEX('Payment Approval'!$C$2:$C$38,MATCH($G34,'Payment Approval'!$B$2:$B$38,0)),"OK","DIFF")</f>
        <v>OK</v>
      </c>
      <c r="N34" s="2" t="str">
        <f aca="false">IF(ISNUMBER(SEARCH("Contract/PO/SPK; Invoice; Work",INDEX('Transaction Evidence'!$E$2:$E$38,MATCH($A34,'Transaction Evidence'!$A$2:$A$38,0)))),"Yes","No")</f>
        <v>No</v>
      </c>
      <c r="O34" s="2" t="str">
        <f aca="false">IF(D34="PT Rinjani Niaga Sentosa","Yes","No")</f>
        <v>Yes</v>
      </c>
      <c r="P34" s="2" t="str">
        <f aca="false">IF(AND(J34=K34,K34=L34),"Yes","No")</f>
        <v>Yes</v>
      </c>
      <c r="Q34" s="2" t="str">
        <f aca="false">IF(H34&gt;=$W$1,"Yes","No")</f>
        <v>Yes</v>
      </c>
      <c r="R34" s="2" t="str">
        <f aca="false">IF(COUNTIF('Ref - Booklet Data'!$C$14:$C$19,E34)&gt;0,"Registered","Not in extract")</f>
        <v>Registered</v>
      </c>
      <c r="S34" s="2" t="str">
        <f aca="false">IF(AND(O34="Yes",N34="No"),"Suspected fraud",IF(O34="Yes","Unresolved - RNS with contract",IF(N34="Yes","Legitimate (provisional)","Unresolved - partial docs")))</f>
        <v>Suspected fraud</v>
      </c>
      <c r="T34" s="2" t="str">
        <f aca="false">INDEX('Transaction Evidence'!$F$2:$F$38,MATCH($A34,'Transaction Evidence'!$A$2:$A$38,0))</f>
        <v>Only a Payment Request, transfer evidence, and email/internal instructions are on file for this transaction. No contract, PO/SPK, work/delivery report, or evidence of</v>
      </c>
      <c r="U34" s="2"/>
      <c r="V34" s="2"/>
      <c r="W34" s="2"/>
    </row>
    <row r="35" customFormat="false" ht="15" hidden="false" customHeight="false" outlineLevel="0" collapsed="false">
      <c r="A35" s="2" t="str">
        <f aca="false">'Outgoing Transactions'!B32</f>
        <v>ESM-OUT-031</v>
      </c>
      <c r="B35" s="14" t="n">
        <f aca="false">DATEVALUE('Outgoing Transactions'!C32)</f>
        <v>45503</v>
      </c>
      <c r="C35" s="2" t="str">
        <f aca="false">'Outgoing Transactions'!D32</f>
        <v>ESM-BX-01</v>
      </c>
      <c r="D35" s="2" t="str">
        <f aca="false">'Outgoing Transactions'!F32</f>
        <v>PT Laut Jawa Tomasan</v>
      </c>
      <c r="E35" s="2" t="str">
        <f aca="false">'Outgoing Transactions'!G32</f>
        <v>VND-KM-02</v>
      </c>
      <c r="F35" s="2" t="str">
        <f aca="false">'Outgoing Transactions'!H32</f>
        <v>Bank Cakra</v>
      </c>
      <c r="G35" s="2" t="str">
        <f aca="false">INDEX('Transaction Evidence'!$B$2:$B$38,MATCH($A35,'Transaction Evidence'!$A$2:$A$38,0))</f>
        <v>INV-KM-0730</v>
      </c>
      <c r="H35" s="12" t="n">
        <f aca="false">INDEX('Transaction Evidence'!$D$2:$D$38,MATCH($A35,'Transaction Evidence'!$A$2:$A$38,0))</f>
        <v>450000000</v>
      </c>
      <c r="I35" s="2" t="str">
        <f aca="false">INDEX('Payment Approval'!$E$2:$E$38,MATCH($G35,'Payment Approval'!$B$2:$B$38,0))</f>
        <v>Packaging material procurement</v>
      </c>
      <c r="J35" s="2" t="str">
        <f aca="false">INDEX('Payment Approval'!$F$2:$F$38,MATCH($G35,'Payment Approval'!$B$2:$B$38,0))</f>
        <v>USR-FIN-02</v>
      </c>
      <c r="K35" s="2" t="str">
        <f aca="false">INDEX('Payment Approval'!$G$2:$G$38,MATCH($G35,'Payment Approval'!$B$2:$B$38,0))</f>
        <v>USR-FIN-02</v>
      </c>
      <c r="L35" s="2" t="str">
        <f aca="false">INDEX('Payment Approval'!$H$2:$H$38,MATCH($G35,'Payment Approval'!$B$2:$B$38,0))</f>
        <v>USR-FIN-02</v>
      </c>
      <c r="M35" s="2" t="str">
        <f aca="false">IF(H35=INDEX('Payment Approval'!$C$2:$C$38,MATCH($G35,'Payment Approval'!$B$2:$B$38,0)),"OK","DIFF")</f>
        <v>OK</v>
      </c>
      <c r="N35" s="2" t="str">
        <f aca="false">IF(ISNUMBER(SEARCH("Contract/PO/SPK; Invoice; Work",INDEX('Transaction Evidence'!$E$2:$E$38,MATCH($A35,'Transaction Evidence'!$A$2:$A$38,0)))),"Yes","No")</f>
        <v>No</v>
      </c>
      <c r="O35" s="2" t="str">
        <f aca="false">IF(D35="PT Rinjani Niaga Sentosa","Yes","No")</f>
        <v>No</v>
      </c>
      <c r="P35" s="2" t="str">
        <f aca="false">IF(AND(J35=K35,K35=L35),"Yes","No")</f>
        <v>Yes</v>
      </c>
      <c r="Q35" s="2" t="str">
        <f aca="false">IF(H35&gt;=$W$1,"Yes","No")</f>
        <v>No</v>
      </c>
      <c r="R35" s="2" t="str">
        <f aca="false">IF(COUNTIF('Ref - Booklet Data'!$C$14:$C$19,E35)&gt;0,"Registered","Not in extract")</f>
        <v>Not in extract</v>
      </c>
      <c r="S35" s="2" t="str">
        <f aca="false">IF(AND(O35="Yes",N35="No"),"Suspected fraud",IF(O35="Yes","Unresolved - RNS with contract",IF(N35="Yes","Legitimate (provisional)","Unresolved - partial docs")))</f>
        <v>Unresolved - partial docs</v>
      </c>
      <c r="T35" s="2" t="str">
        <f aca="false">INDEX('Transaction Evidence'!$F$2:$F$38,MATCH($A35,'Transaction Evidence'!$A$2:$A$38,0))</f>
        <v>An invoice and delivery note are on file for this transaction. No contract/PO or hand-over report was located.</v>
      </c>
      <c r="U35" s="2"/>
      <c r="V35" s="2"/>
      <c r="W35" s="2"/>
    </row>
    <row r="36" customFormat="false" ht="15" hidden="false" customHeight="false" outlineLevel="0" collapsed="false">
      <c r="A36" s="2" t="str">
        <f aca="false">'Outgoing Transactions'!B33</f>
        <v>ESM-OUT-032</v>
      </c>
      <c r="B36" s="14" t="n">
        <f aca="false">DATEVALUE('Outgoing Transactions'!C33)</f>
        <v>45512</v>
      </c>
      <c r="C36" s="2" t="str">
        <f aca="false">'Outgoing Transactions'!D33</f>
        <v>ESM-BY-01</v>
      </c>
      <c r="D36" s="2" t="str">
        <f aca="false">'Outgoing Transactions'!F33</f>
        <v>PT Laut Arafura Media</v>
      </c>
      <c r="E36" s="2" t="str">
        <f aca="false">'Outgoing Transactions'!G33</f>
        <v>VND-MD-01</v>
      </c>
      <c r="F36" s="2" t="str">
        <f aca="false">'Outgoing Transactions'!H33</f>
        <v>Bank Nusantara</v>
      </c>
      <c r="G36" s="2" t="str">
        <f aca="false">INDEX('Transaction Evidence'!$B$2:$B$38,MATCH($A36,'Transaction Evidence'!$A$2:$A$38,0))</f>
        <v>CTR-2024-021</v>
      </c>
      <c r="H36" s="12" t="n">
        <f aca="false">INDEX('Transaction Evidence'!$D$2:$D$38,MATCH($A36,'Transaction Evidence'!$A$2:$A$38,0))</f>
        <v>300000000</v>
      </c>
      <c r="I36" s="2" t="str">
        <f aca="false">INDEX('Payment Approval'!$E$2:$E$38,MATCH($G36,'Payment Approval'!$B$2:$B$38,0))</f>
        <v>Marketing services</v>
      </c>
      <c r="J36" s="2" t="str">
        <f aca="false">INDEX('Payment Approval'!$F$2:$F$38,MATCH($G36,'Payment Approval'!$B$2:$B$38,0))</f>
        <v>USR-FIN-02</v>
      </c>
      <c r="K36" s="2" t="str">
        <f aca="false">INDEX('Payment Approval'!$G$2:$G$38,MATCH($G36,'Payment Approval'!$B$2:$B$38,0))</f>
        <v>USR-FIN-02</v>
      </c>
      <c r="L36" s="2" t="str">
        <f aca="false">INDEX('Payment Approval'!$H$2:$H$38,MATCH($G36,'Payment Approval'!$B$2:$B$38,0))</f>
        <v>USR-FIN-02</v>
      </c>
      <c r="M36" s="2" t="str">
        <f aca="false">IF(H36=INDEX('Payment Approval'!$C$2:$C$38,MATCH($G36,'Payment Approval'!$B$2:$B$38,0)),"OK","DIFF")</f>
        <v>OK</v>
      </c>
      <c r="N36" s="2" t="str">
        <f aca="false">IF(ISNUMBER(SEARCH("Contract/PO/SPK; Invoice; Work",INDEX('Transaction Evidence'!$E$2:$E$38,MATCH($A36,'Transaction Evidence'!$A$2:$A$38,0)))),"Yes","No")</f>
        <v>Yes</v>
      </c>
      <c r="O36" s="2" t="str">
        <f aca="false">IF(D36="PT Rinjani Niaga Sentosa","Yes","No")</f>
        <v>No</v>
      </c>
      <c r="P36" s="2" t="str">
        <f aca="false">IF(AND(J36=K36,K36=L36),"Yes","No")</f>
        <v>Yes</v>
      </c>
      <c r="Q36" s="2" t="str">
        <f aca="false">IF(H36&gt;=$W$1,"Yes","No")</f>
        <v>No</v>
      </c>
      <c r="R36" s="2" t="str">
        <f aca="false">IF(COUNTIF('Ref - Booklet Data'!$C$14:$C$19,E36)&gt;0,"Registered","Not in extract")</f>
        <v>Not in extract</v>
      </c>
      <c r="S36" s="2" t="str">
        <f aca="false">IF(AND(O36="Yes",N36="No"),"Suspected fraud",IF(O36="Yes","Unresolved - RNS with contract",IF(N36="Yes","Legitimate (provisional)","Unresolved - partial docs")))</f>
        <v>Legitimate (provisional)</v>
      </c>
      <c r="T36" s="2" t="str">
        <f aca="false">INDEX('Transaction Evidence'!$F$2:$F$38,MATCH($A36,'Transaction Evidence'!$A$2:$A$38,0))</f>
        <v>Contract/PO/SPK, invoice, work/hand-over report, evidence of receipt of goods/services, and Board of Directors approval are on file for this transaction.</v>
      </c>
      <c r="U36" s="2"/>
      <c r="V36" s="2"/>
      <c r="W36" s="2"/>
    </row>
    <row r="37" customFormat="false" ht="15" hidden="false" customHeight="false" outlineLevel="0" collapsed="false">
      <c r="A37" s="2" t="str">
        <f aca="false">'Outgoing Transactions'!B34</f>
        <v>ESM-OUT-033</v>
      </c>
      <c r="B37" s="14" t="n">
        <f aca="false">DATEVALUE('Outgoing Transactions'!C34)</f>
        <v>45531</v>
      </c>
      <c r="C37" s="2" t="str">
        <f aca="false">'Outgoing Transactions'!D34</f>
        <v>ESM-BX-01</v>
      </c>
      <c r="D37" s="2" t="str">
        <f aca="false">'Outgoing Transactions'!F34</f>
        <v>PT Laut Sawu Distribusi</v>
      </c>
      <c r="E37" s="2" t="str">
        <f aca="false">'Outgoing Transactions'!G34</f>
        <v>VND-DI-03</v>
      </c>
      <c r="F37" s="2" t="str">
        <f aca="false">'Outgoing Transactions'!H34</f>
        <v>Bank Cakra</v>
      </c>
      <c r="G37" s="2" t="str">
        <f aca="false">INDEX('Transaction Evidence'!$B$2:$B$38,MATCH($A37,'Transaction Evidence'!$A$2:$A$38,0))</f>
        <v>REQ-DIST-0827</v>
      </c>
      <c r="H37" s="12" t="n">
        <f aca="false">INDEX('Transaction Evidence'!$D$2:$D$38,MATCH($A37,'Transaction Evidence'!$A$2:$A$38,0))</f>
        <v>250000000</v>
      </c>
      <c r="I37" s="2" t="str">
        <f aca="false">INDEX('Payment Approval'!$E$2:$E$38,MATCH($G37,'Payment Approval'!$B$2:$B$38,0))</f>
        <v>Logistics services</v>
      </c>
      <c r="J37" s="2" t="str">
        <f aca="false">INDEX('Payment Approval'!$F$2:$F$38,MATCH($G37,'Payment Approval'!$B$2:$B$38,0))</f>
        <v>USR-FIN-01</v>
      </c>
      <c r="K37" s="2" t="str">
        <f aca="false">INDEX('Payment Approval'!$G$2:$G$38,MATCH($G37,'Payment Approval'!$B$2:$B$38,0))</f>
        <v>USR-FIN-02</v>
      </c>
      <c r="L37" s="2" t="str">
        <f aca="false">INDEX('Payment Approval'!$H$2:$H$38,MATCH($G37,'Payment Approval'!$B$2:$B$38,0))</f>
        <v>USR-FIN-02</v>
      </c>
      <c r="M37" s="2" t="str">
        <f aca="false">IF(H37=INDEX('Payment Approval'!$C$2:$C$38,MATCH($G37,'Payment Approval'!$B$2:$B$38,0)),"OK","DIFF")</f>
        <v>OK</v>
      </c>
      <c r="N37" s="2" t="str">
        <f aca="false">IF(ISNUMBER(SEARCH("Contract/PO/SPK; Invoice; Work",INDEX('Transaction Evidence'!$E$2:$E$38,MATCH($A37,'Transaction Evidence'!$A$2:$A$38,0)))),"Yes","No")</f>
        <v>No</v>
      </c>
      <c r="O37" s="2" t="str">
        <f aca="false">IF(D37="PT Rinjani Niaga Sentosa","Yes","No")</f>
        <v>No</v>
      </c>
      <c r="P37" s="2" t="str">
        <f aca="false">IF(AND(J37=K37,K37=L37),"Yes","No")</f>
        <v>No</v>
      </c>
      <c r="Q37" s="2" t="str">
        <f aca="false">IF(H37&gt;=$W$1,"Yes","No")</f>
        <v>No</v>
      </c>
      <c r="R37" s="2" t="str">
        <f aca="false">IF(COUNTIF('Ref - Booklet Data'!$C$14:$C$19,E37)&gt;0,"Registered","Not in extract")</f>
        <v>Not in extract</v>
      </c>
      <c r="S37" s="2" t="str">
        <f aca="false">IF(AND(O37="Yes",N37="No"),"Suspected fraud",IF(O37="Yes","Unresolved - RNS with contract",IF(N37="Yes","Legitimate (provisional)","Unresolved - partial docs")))</f>
        <v>Unresolved - partial docs</v>
      </c>
      <c r="T37" s="2" t="str">
        <f aca="false">INDEX('Transaction Evidence'!$F$2:$F$38,MATCH($A37,'Transaction Evidence'!$A$2:$A$38,0))</f>
        <v>A payment request and email are on file for this transaction. No contract, invoice, or evidence of receipt of services was located.</v>
      </c>
      <c r="U37" s="2"/>
      <c r="V37" s="2"/>
      <c r="W37" s="2"/>
    </row>
    <row r="38" customFormat="false" ht="15" hidden="false" customHeight="false" outlineLevel="0" collapsed="false">
      <c r="A38" s="2" t="str">
        <f aca="false">'Outgoing Transactions'!B35</f>
        <v>ESM-OUT-034</v>
      </c>
      <c r="B38" s="14" t="n">
        <f aca="false">DATEVALUE('Outgoing Transactions'!C35)</f>
        <v>45538</v>
      </c>
      <c r="C38" s="2" t="str">
        <f aca="false">'Outgoing Transactions'!D35</f>
        <v>ESM-BY-01</v>
      </c>
      <c r="D38" s="2" t="str">
        <f aca="false">'Outgoing Transactions'!F35</f>
        <v>PT Rinjani Niaga Sentosa</v>
      </c>
      <c r="E38" s="2" t="str">
        <f aca="false">'Outgoing Transactions'!G35</f>
        <v>RNS-BR-01</v>
      </c>
      <c r="F38" s="2" t="str">
        <f aca="false">'Outgoing Transactions'!H35</f>
        <v>Bank Rinjani</v>
      </c>
      <c r="G38" s="2" t="str">
        <f aca="false">INDEX('Transaction Evidence'!$B$2:$B$38,MATCH($A38,'Transaction Evidence'!$A$2:$A$38,0))</f>
        <v>REQ-RNS-006</v>
      </c>
      <c r="H38" s="12" t="n">
        <f aca="false">INDEX('Transaction Evidence'!$D$2:$D$38,MATCH($A38,'Transaction Evidence'!$A$2:$A$38,0))</f>
        <v>825000000</v>
      </c>
      <c r="I38" s="2" t="str">
        <f aca="false">INDEX('Payment Approval'!$E$2:$E$38,MATCH($G38,'Payment Approval'!$B$2:$B$38,0))</f>
        <v>Project fund adjustment</v>
      </c>
      <c r="J38" s="2" t="str">
        <f aca="false">INDEX('Payment Approval'!$F$2:$F$38,MATCH($G38,'Payment Approval'!$B$2:$B$38,0))</f>
        <v>USR-FIN-02</v>
      </c>
      <c r="K38" s="2" t="str">
        <f aca="false">INDEX('Payment Approval'!$G$2:$G$38,MATCH($G38,'Payment Approval'!$B$2:$B$38,0))</f>
        <v>USR-FIN-02</v>
      </c>
      <c r="L38" s="2" t="str">
        <f aca="false">INDEX('Payment Approval'!$H$2:$H$38,MATCH($G38,'Payment Approval'!$B$2:$B$38,0))</f>
        <v>USR-FIN-02</v>
      </c>
      <c r="M38" s="2" t="str">
        <f aca="false">IF(H38=INDEX('Payment Approval'!$C$2:$C$38,MATCH($G38,'Payment Approval'!$B$2:$B$38,0)),"OK","DIFF")</f>
        <v>OK</v>
      </c>
      <c r="N38" s="2" t="str">
        <f aca="false">IF(ISNUMBER(SEARCH("Contract/PO/SPK; Invoice; Work",INDEX('Transaction Evidence'!$E$2:$E$38,MATCH($A38,'Transaction Evidence'!$A$2:$A$38,0)))),"Yes","No")</f>
        <v>No</v>
      </c>
      <c r="O38" s="2" t="str">
        <f aca="false">IF(D38="PT Rinjani Niaga Sentosa","Yes","No")</f>
        <v>Yes</v>
      </c>
      <c r="P38" s="2" t="str">
        <f aca="false">IF(AND(J38=K38,K38=L38),"Yes","No")</f>
        <v>Yes</v>
      </c>
      <c r="Q38" s="2" t="str">
        <f aca="false">IF(H38&gt;=$W$1,"Yes","No")</f>
        <v>No</v>
      </c>
      <c r="R38" s="2" t="str">
        <f aca="false">IF(COUNTIF('Ref - Booklet Data'!$C$14:$C$19,E38)&gt;0,"Registered","Not in extract")</f>
        <v>Registered</v>
      </c>
      <c r="S38" s="2" t="str">
        <f aca="false">IF(AND(O38="Yes",N38="No"),"Suspected fraud",IF(O38="Yes","Unresolved - RNS with contract",IF(N38="Yes","Legitimate (provisional)","Unresolved - partial docs")))</f>
        <v>Suspected fraud</v>
      </c>
      <c r="T38" s="2" t="str">
        <f aca="false">INDEX('Transaction Evidence'!$F$2:$F$38,MATCH($A38,'Transaction Evidence'!$A$2:$A$38,0))</f>
        <v>Only a Payment Request, transfer evidence, and email/internal instructions are on file for this transaction. No contract, PO/SPK, work/delivery report, or evidence of</v>
      </c>
      <c r="U38" s="2"/>
      <c r="V38" s="2"/>
      <c r="W38" s="2"/>
    </row>
    <row r="39" customFormat="false" ht="15" hidden="false" customHeight="false" outlineLevel="0" collapsed="false">
      <c r="A39" s="2" t="str">
        <f aca="false">'Outgoing Transactions'!B36</f>
        <v>ESM-OUT-035</v>
      </c>
      <c r="B39" s="14" t="n">
        <f aca="false">DATEVALUE('Outgoing Transactions'!C36)</f>
        <v>45573</v>
      </c>
      <c r="C39" s="2" t="str">
        <f aca="false">'Outgoing Transactions'!D36</f>
        <v>ESM-BX-01</v>
      </c>
      <c r="D39" s="2" t="str">
        <f aca="false">'Outgoing Transactions'!F36</f>
        <v>PT Rinjani Niaga Sentosa</v>
      </c>
      <c r="E39" s="2" t="str">
        <f aca="false">'Outgoing Transactions'!G36</f>
        <v>RNS-BR-01</v>
      </c>
      <c r="F39" s="2" t="str">
        <f aca="false">'Outgoing Transactions'!H36</f>
        <v>Bank Rinjani</v>
      </c>
      <c r="G39" s="2" t="str">
        <f aca="false">INDEX('Transaction Evidence'!$B$2:$B$38,MATCH($A39,'Transaction Evidence'!$A$2:$A$38,0))</f>
        <v>REQ-RNS-010</v>
      </c>
      <c r="H39" s="12" t="n">
        <f aca="false">INDEX('Transaction Evidence'!$D$2:$D$38,MATCH($A39,'Transaction Evidence'!$A$2:$A$38,0))</f>
        <v>950000000</v>
      </c>
      <c r="I39" s="2" t="str">
        <f aca="false">INDEX('Payment Approval'!$E$2:$E$38,MATCH($G39,'Payment Approval'!$B$2:$B$38,0))</f>
        <v>Operational funds held in custody</v>
      </c>
      <c r="J39" s="2" t="str">
        <f aca="false">INDEX('Payment Approval'!$F$2:$F$38,MATCH($G39,'Payment Approval'!$B$2:$B$38,0))</f>
        <v>USR-FIN-02</v>
      </c>
      <c r="K39" s="2" t="str">
        <f aca="false">INDEX('Payment Approval'!$G$2:$G$38,MATCH($G39,'Payment Approval'!$B$2:$B$38,0))</f>
        <v>USR-FIN-02</v>
      </c>
      <c r="L39" s="2" t="str">
        <f aca="false">INDEX('Payment Approval'!$H$2:$H$38,MATCH($G39,'Payment Approval'!$B$2:$B$38,0))</f>
        <v>USR-FIN-02</v>
      </c>
      <c r="M39" s="2" t="str">
        <f aca="false">IF(H39=INDEX('Payment Approval'!$C$2:$C$38,MATCH($G39,'Payment Approval'!$B$2:$B$38,0)),"OK","DIFF")</f>
        <v>OK</v>
      </c>
      <c r="N39" s="2" t="str">
        <f aca="false">IF(ISNUMBER(SEARCH("Contract/PO/SPK; Invoice; Work",INDEX('Transaction Evidence'!$E$2:$E$38,MATCH($A39,'Transaction Evidence'!$A$2:$A$38,0)))),"Yes","No")</f>
        <v>No</v>
      </c>
      <c r="O39" s="2" t="str">
        <f aca="false">IF(D39="PT Rinjani Niaga Sentosa","Yes","No")</f>
        <v>Yes</v>
      </c>
      <c r="P39" s="2" t="str">
        <f aca="false">IF(AND(J39=K39,K39=L39),"Yes","No")</f>
        <v>Yes</v>
      </c>
      <c r="Q39" s="2" t="str">
        <f aca="false">IF(H39&gt;=$W$1,"Yes","No")</f>
        <v>Yes</v>
      </c>
      <c r="R39" s="2" t="str">
        <f aca="false">IF(COUNTIF('Ref - Booklet Data'!$C$14:$C$19,E39)&gt;0,"Registered","Not in extract")</f>
        <v>Registered</v>
      </c>
      <c r="S39" s="2" t="str">
        <f aca="false">IF(AND(O39="Yes",N39="No"),"Suspected fraud",IF(O39="Yes","Unresolved - RNS with contract",IF(N39="Yes","Legitimate (provisional)","Unresolved - partial docs")))</f>
        <v>Suspected fraud</v>
      </c>
      <c r="T39" s="2" t="str">
        <f aca="false">INDEX('Transaction Evidence'!$F$2:$F$38,MATCH($A39,'Transaction Evidence'!$A$2:$A$38,0))</f>
        <v>Only a Payment Request, transfer evidence, and email/internal instructions are on file for this transaction. No contract, PO/SPK, work/delivery report, or evidence of</v>
      </c>
      <c r="U39" s="2"/>
      <c r="V39" s="2"/>
      <c r="W39" s="2"/>
    </row>
    <row r="40" customFormat="false" ht="15" hidden="false" customHeight="false" outlineLevel="0" collapsed="false">
      <c r="A40" s="2" t="str">
        <f aca="false">'Outgoing Transactions'!B37</f>
        <v>ESM-OUT-036</v>
      </c>
      <c r="B40" s="14" t="n">
        <f aca="false">DATEVALUE('Outgoing Transactions'!C37)</f>
        <v>45587</v>
      </c>
      <c r="C40" s="2" t="str">
        <f aca="false">'Outgoing Transactions'!D37</f>
        <v>ESM-BY-01</v>
      </c>
      <c r="D40" s="2" t="str">
        <f aca="false">'Outgoing Transactions'!F37</f>
        <v>PT Laut Sawu Distribusi</v>
      </c>
      <c r="E40" s="2" t="str">
        <f aca="false">'Outgoing Transactions'!G37</f>
        <v>VND-DI-02</v>
      </c>
      <c r="F40" s="2" t="str">
        <f aca="false">'Outgoing Transactions'!H37</f>
        <v>Bank Nusantara</v>
      </c>
      <c r="G40" s="2" t="str">
        <f aca="false">INDEX('Transaction Evidence'!$B$2:$B$38,MATCH($A40,'Transaction Evidence'!$A$2:$A$38,0))</f>
        <v>CTR-2024-052</v>
      </c>
      <c r="H40" s="12" t="n">
        <f aca="false">INDEX('Transaction Evidence'!$D$2:$D$38,MATCH($A40,'Transaction Evidence'!$A$2:$A$38,0))</f>
        <v>150000000</v>
      </c>
      <c r="I40" s="2" t="str">
        <f aca="false">INDEX('Payment Approval'!$E$2:$E$38,MATCH($G40,'Payment Approval'!$B$2:$B$38,0))</f>
        <v>Distribution services</v>
      </c>
      <c r="J40" s="2" t="str">
        <f aca="false">INDEX('Payment Approval'!$F$2:$F$38,MATCH($G40,'Payment Approval'!$B$2:$B$38,0))</f>
        <v>USR-FIN-01</v>
      </c>
      <c r="K40" s="2" t="str">
        <f aca="false">INDEX('Payment Approval'!$G$2:$G$38,MATCH($G40,'Payment Approval'!$B$2:$B$38,0))</f>
        <v>USR-FIN-02</v>
      </c>
      <c r="L40" s="2" t="str">
        <f aca="false">INDEX('Payment Approval'!$H$2:$H$38,MATCH($G40,'Payment Approval'!$B$2:$B$38,0))</f>
        <v>USR-FIN-02</v>
      </c>
      <c r="M40" s="2" t="str">
        <f aca="false">IF(H40=INDEX('Payment Approval'!$C$2:$C$38,MATCH($G40,'Payment Approval'!$B$2:$B$38,0)),"OK","DIFF")</f>
        <v>OK</v>
      </c>
      <c r="N40" s="2" t="str">
        <f aca="false">IF(ISNUMBER(SEARCH("Contract/PO/SPK; Invoice; Work",INDEX('Transaction Evidence'!$E$2:$E$38,MATCH($A40,'Transaction Evidence'!$A$2:$A$38,0)))),"Yes","No")</f>
        <v>Yes</v>
      </c>
      <c r="O40" s="2" t="str">
        <f aca="false">IF(D40="PT Rinjani Niaga Sentosa","Yes","No")</f>
        <v>No</v>
      </c>
      <c r="P40" s="2" t="str">
        <f aca="false">IF(AND(J40=K40,K40=L40),"Yes","No")</f>
        <v>No</v>
      </c>
      <c r="Q40" s="2" t="str">
        <f aca="false">IF(H40&gt;=$W$1,"Yes","No")</f>
        <v>No</v>
      </c>
      <c r="R40" s="2" t="str">
        <f aca="false">IF(COUNTIF('Ref - Booklet Data'!$C$14:$C$19,E40)&gt;0,"Registered","Not in extract")</f>
        <v>Not in extract</v>
      </c>
      <c r="S40" s="2" t="str">
        <f aca="false">IF(AND(O40="Yes",N40="No"),"Suspected fraud",IF(O40="Yes","Unresolved - RNS with contract",IF(N40="Yes","Legitimate (provisional)","Unresolved - partial docs")))</f>
        <v>Legitimate (provisional)</v>
      </c>
      <c r="T40" s="2" t="str">
        <f aca="false">INDEX('Transaction Evidence'!$F$2:$F$38,MATCH($A40,'Transaction Evidence'!$A$2:$A$38,0))</f>
        <v>Contract/PO/SPK, invoice, work/hand-over report, evidence of receipt of goods/services, and Board of Directors approval are on file for this transaction.</v>
      </c>
      <c r="U40" s="2"/>
      <c r="V40" s="2"/>
      <c r="W40" s="2"/>
    </row>
    <row r="41" customFormat="false" ht="15" hidden="false" customHeight="false" outlineLevel="0" collapsed="false">
      <c r="A41" s="2" t="str">
        <f aca="false">'Outgoing Transactions'!B38</f>
        <v>ESM-OUT-037</v>
      </c>
      <c r="B41" s="14" t="n">
        <f aca="false">DATEVALUE('Outgoing Transactions'!C38)</f>
        <v>45621</v>
      </c>
      <c r="C41" s="2" t="str">
        <f aca="false">'Outgoing Transactions'!D38</f>
        <v>ESM-BX-01</v>
      </c>
      <c r="D41" s="2" t="str">
        <f aca="false">'Outgoing Transactions'!F38</f>
        <v>PT Laut Timor Properti</v>
      </c>
      <c r="E41" s="2" t="str">
        <f aca="false">'Outgoing Transactions'!G38</f>
        <v>VND-TP-01</v>
      </c>
      <c r="F41" s="2" t="str">
        <f aca="false">'Outgoing Transactions'!H38</f>
        <v>Bank Cakra</v>
      </c>
      <c r="G41" s="2" t="str">
        <f aca="false">INDEX('Transaction Evidence'!$B$2:$B$38,MATCH($A41,'Transaction Evidence'!$A$2:$A$38,0))</f>
        <v>INV-LT-1125</v>
      </c>
      <c r="H41" s="12" t="n">
        <f aca="false">INDEX('Transaction Evidence'!$D$2:$D$38,MATCH($A41,'Transaction Evidence'!$A$2:$A$38,0))</f>
        <v>520000000</v>
      </c>
      <c r="I41" s="2" t="str">
        <f aca="false">INDEX('Payment Approval'!$E$2:$E$38,MATCH($G41,'Payment Approval'!$B$2:$B$38,0))</f>
        <v>Location maintenance services</v>
      </c>
      <c r="J41" s="2" t="str">
        <f aca="false">INDEX('Payment Approval'!$F$2:$F$38,MATCH($G41,'Payment Approval'!$B$2:$B$38,0))</f>
        <v>USR-FIN-02</v>
      </c>
      <c r="K41" s="2" t="str">
        <f aca="false">INDEX('Payment Approval'!$G$2:$G$38,MATCH($G41,'Payment Approval'!$B$2:$B$38,0))</f>
        <v>USR-FIN-02</v>
      </c>
      <c r="L41" s="2" t="str">
        <f aca="false">INDEX('Payment Approval'!$H$2:$H$38,MATCH($G41,'Payment Approval'!$B$2:$B$38,0))</f>
        <v>USR-FIN-02</v>
      </c>
      <c r="M41" s="2" t="str">
        <f aca="false">IF(H41=INDEX('Payment Approval'!$C$2:$C$38,MATCH($G41,'Payment Approval'!$B$2:$B$38,0)),"OK","DIFF")</f>
        <v>OK</v>
      </c>
      <c r="N41" s="2" t="str">
        <f aca="false">IF(ISNUMBER(SEARCH("Contract/PO/SPK; Invoice; Work",INDEX('Transaction Evidence'!$E$2:$E$38,MATCH($A41,'Transaction Evidence'!$A$2:$A$38,0)))),"Yes","No")</f>
        <v>No</v>
      </c>
      <c r="O41" s="2" t="str">
        <f aca="false">IF(D41="PT Rinjani Niaga Sentosa","Yes","No")</f>
        <v>No</v>
      </c>
      <c r="P41" s="2" t="str">
        <f aca="false">IF(AND(J41=K41,K41=L41),"Yes","No")</f>
        <v>Yes</v>
      </c>
      <c r="Q41" s="2" t="str">
        <f aca="false">IF(H41&gt;=$W$1,"Yes","No")</f>
        <v>No</v>
      </c>
      <c r="R41" s="2" t="str">
        <f aca="false">IF(COUNTIF('Ref - Booklet Data'!$C$14:$C$19,E41)&gt;0,"Registered","Not in extract")</f>
        <v>Not in extract</v>
      </c>
      <c r="S41" s="2" t="str">
        <f aca="false">IF(AND(O41="Yes",N41="No"),"Suspected fraud",IF(O41="Yes","Unresolved - RNS with contract",IF(N41="Yes","Legitimate (provisional)","Unresolved - partial docs")))</f>
        <v>Unresolved - partial docs</v>
      </c>
      <c r="T41" s="2" t="str">
        <f aca="false">INDEX('Transaction Evidence'!$F$2:$F$38,MATCH($A41,'Transaction Evidence'!$A$2:$A$38,0))</f>
        <v>An invoice and location photos are on file for this transaction. No contract or work report was located.</v>
      </c>
      <c r="U41" s="2"/>
      <c r="V41" s="2"/>
      <c r="W41" s="2"/>
    </row>
    <row r="42" customFormat="false" ht="15" hidden="false" customHeight="false" outlineLevel="0" collapsed="false">
      <c r="A42" s="9" t="s">
        <v>75</v>
      </c>
      <c r="B42" s="2"/>
      <c r="C42" s="2"/>
      <c r="D42" s="2"/>
      <c r="E42" s="2"/>
      <c r="F42" s="2"/>
      <c r="G42" s="2"/>
      <c r="H42" s="15" t="n">
        <f aca="false">SUM(H5:H41)</f>
        <v>20080000000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</sheetData>
  <conditionalFormatting sqref="S5:S41">
    <cfRule type="expression" priority="2" aboveAverage="0" equalAverage="0" bottom="0" percent="0" rank="0" text="" dxfId="1">
      <formula>$S5="Suspected fraud"</formula>
    </cfRule>
    <cfRule type="expression" priority="3" aboveAverage="0" equalAverage="0" bottom="0" percent="0" rank="0" text="" dxfId="2">
      <formula>LEFT($S5,10)="Unresolved"</formula>
    </cfRule>
    <cfRule type="expression" priority="4" aboveAverage="0" equalAverage="0" bottom="0" percent="0" rank="0" text="" dxfId="0">
      <formula>LEFT($S5,10)="Legitimate"</formula>
    </cfRule>
  </conditionalFormatting>
  <conditionalFormatting sqref="P5:P41">
    <cfRule type="expression" priority="5" aboveAverage="0" equalAverage="0" bottom="0" percent="0" rank="0" text="" dxfId="1">
      <formula>$P5="Yes"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109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110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92</v>
      </c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  <c r="G4" s="4" t="s">
        <v>116</v>
      </c>
      <c r="H4" s="4" t="s">
        <v>117</v>
      </c>
    </row>
    <row r="5" customFormat="false" ht="15" hidden="false" customHeight="false" outlineLevel="0" collapsed="false">
      <c r="A5" s="2" t="s">
        <v>118</v>
      </c>
      <c r="B5" s="2" t="n">
        <f aca="false">COUNTIF('C-Outgoing Analysis'!$D$5:$D$41,A5)</f>
        <v>16</v>
      </c>
      <c r="C5" s="12" t="n">
        <f aca="false">SUMIFS('C-Outgoing Analysis'!$H$5:$H$41,'C-Outgoing Analysis'!$D$5:$D$41,A5)</f>
        <v>13500000000</v>
      </c>
      <c r="D5" s="13" t="n">
        <f aca="false">C5/$C$15</f>
        <v>0.672310756972112</v>
      </c>
      <c r="E5" s="18" t="n">
        <f aca="false">SUMPRODUCT(('C-Outgoing Analysis'!$D$5:$D$41=A5)/COUNTIFS('C-Outgoing Analysis'!$D$5:$D$41,'C-Outgoing Analysis'!$D$5:$D$41,'C-Outgoing Analysis'!$E$5:$E$41,'C-Outgoing Analysis'!$E$5:$E$41))</f>
        <v>1</v>
      </c>
      <c r="F5" s="2" t="n">
        <f aca="false">COUNTIFS('C-Outgoing Analysis'!$D$5:$D$41,A5,'C-Outgoing Analysis'!$N$5:$N$41,"Yes")</f>
        <v>1</v>
      </c>
      <c r="G5" s="2" t="n">
        <f aca="false">COUNTIFS('C-Outgoing Analysis'!$D$5:$D$41,A5,'C-Outgoing Analysis'!$R$5:$R$41,"Not in extract")</f>
        <v>0</v>
      </c>
      <c r="H5" s="12" t="n">
        <f aca="false">SUMIFS('C-Outgoing Analysis'!$H$5:$H$41,'C-Outgoing Analysis'!$D$5:$D$41,A5,'C-Outgoing Analysis'!$N$5:$N$41,"No")</f>
        <v>13000000000</v>
      </c>
    </row>
    <row r="6" customFormat="false" ht="15" hidden="false" customHeight="false" outlineLevel="0" collapsed="false">
      <c r="A6" s="2" t="s">
        <v>119</v>
      </c>
      <c r="B6" s="2" t="n">
        <f aca="false">COUNTIF('C-Outgoing Analysis'!$D$5:$D$41,A6)</f>
        <v>4</v>
      </c>
      <c r="C6" s="12" t="n">
        <f aca="false">SUMIFS('C-Outgoing Analysis'!$H$5:$H$41,'C-Outgoing Analysis'!$D$5:$D$41,A6)</f>
        <v>1150000000</v>
      </c>
      <c r="D6" s="13" t="n">
        <f aca="false">C6/$C$15</f>
        <v>0.0572709163346614</v>
      </c>
      <c r="E6" s="18" t="n">
        <f aca="false">SUMPRODUCT(('C-Outgoing Analysis'!$D$5:$D$41=A6)/COUNTIFS('C-Outgoing Analysis'!$D$5:$D$41,'C-Outgoing Analysis'!$D$5:$D$41,'C-Outgoing Analysis'!$E$5:$E$41,'C-Outgoing Analysis'!$E$5:$E$41))</f>
        <v>4</v>
      </c>
      <c r="F6" s="2" t="n">
        <f aca="false">COUNTIFS('C-Outgoing Analysis'!$D$5:$D$41,A6,'C-Outgoing Analysis'!$N$5:$N$41,"Yes")</f>
        <v>2</v>
      </c>
      <c r="G6" s="2" t="n">
        <f aca="false">COUNTIFS('C-Outgoing Analysis'!$D$5:$D$41,A6,'C-Outgoing Analysis'!$R$5:$R$41,"Not in extract")</f>
        <v>3</v>
      </c>
      <c r="H6" s="12" t="n">
        <f aca="false">SUMIFS('C-Outgoing Analysis'!$H$5:$H$41,'C-Outgoing Analysis'!$D$5:$D$41,A6,'C-Outgoing Analysis'!$N$5:$N$41,"No")</f>
        <v>600000000</v>
      </c>
    </row>
    <row r="7" customFormat="false" ht="15" hidden="false" customHeight="false" outlineLevel="0" collapsed="false">
      <c r="A7" s="2" t="s">
        <v>120</v>
      </c>
      <c r="B7" s="2" t="n">
        <f aca="false">COUNTIF('C-Outgoing Analysis'!$D$5:$D$41,A7)</f>
        <v>3</v>
      </c>
      <c r="C7" s="12" t="n">
        <f aca="false">SUMIFS('C-Outgoing Analysis'!$H$5:$H$41,'C-Outgoing Analysis'!$D$5:$D$41,A7)</f>
        <v>900000000</v>
      </c>
      <c r="D7" s="13" t="n">
        <f aca="false">C7/$C$15</f>
        <v>0.0448207171314741</v>
      </c>
      <c r="E7" s="18" t="n">
        <f aca="false">SUMPRODUCT(('C-Outgoing Analysis'!$D$5:$D$41=A7)/COUNTIFS('C-Outgoing Analysis'!$D$5:$D$41,'C-Outgoing Analysis'!$D$5:$D$41,'C-Outgoing Analysis'!$E$5:$E$41,'C-Outgoing Analysis'!$E$5:$E$41))</f>
        <v>3</v>
      </c>
      <c r="F7" s="2" t="n">
        <f aca="false">COUNTIFS('C-Outgoing Analysis'!$D$5:$D$41,A7,'C-Outgoing Analysis'!$N$5:$N$41,"Yes")</f>
        <v>1</v>
      </c>
      <c r="G7" s="2" t="n">
        <f aca="false">COUNTIFS('C-Outgoing Analysis'!$D$5:$D$41,A7,'C-Outgoing Analysis'!$R$5:$R$41,"Not in extract")</f>
        <v>3</v>
      </c>
      <c r="H7" s="12" t="n">
        <f aca="false">SUMIFS('C-Outgoing Analysis'!$H$5:$H$41,'C-Outgoing Analysis'!$D$5:$D$41,A7,'C-Outgoing Analysis'!$N$5:$N$41,"No")</f>
        <v>750000000</v>
      </c>
    </row>
    <row r="8" customFormat="false" ht="15" hidden="false" customHeight="false" outlineLevel="0" collapsed="false">
      <c r="A8" s="2" t="s">
        <v>121</v>
      </c>
      <c r="B8" s="2" t="n">
        <f aca="false">COUNTIF('C-Outgoing Analysis'!$D$5:$D$41,A8)</f>
        <v>2</v>
      </c>
      <c r="C8" s="12" t="n">
        <f aca="false">SUMIFS('C-Outgoing Analysis'!$H$5:$H$41,'C-Outgoing Analysis'!$D$5:$D$41,A8)</f>
        <v>760000000</v>
      </c>
      <c r="D8" s="13" t="n">
        <f aca="false">C8/$C$15</f>
        <v>0.0378486055776892</v>
      </c>
      <c r="E8" s="18" t="n">
        <f aca="false">SUMPRODUCT(('C-Outgoing Analysis'!$D$5:$D$41=A8)/COUNTIFS('C-Outgoing Analysis'!$D$5:$D$41,'C-Outgoing Analysis'!$D$5:$D$41,'C-Outgoing Analysis'!$E$5:$E$41,'C-Outgoing Analysis'!$E$5:$E$41))</f>
        <v>2</v>
      </c>
      <c r="F8" s="2" t="n">
        <f aca="false">COUNTIFS('C-Outgoing Analysis'!$D$5:$D$41,A8,'C-Outgoing Analysis'!$N$5:$N$41,"Yes")</f>
        <v>0</v>
      </c>
      <c r="G8" s="2" t="n">
        <f aca="false">COUNTIFS('C-Outgoing Analysis'!$D$5:$D$41,A8,'C-Outgoing Analysis'!$R$5:$R$41,"Not in extract")</f>
        <v>1</v>
      </c>
      <c r="H8" s="12" t="n">
        <f aca="false">SUMIFS('C-Outgoing Analysis'!$H$5:$H$41,'C-Outgoing Analysis'!$D$5:$D$41,A8,'C-Outgoing Analysis'!$N$5:$N$41,"No")</f>
        <v>760000000</v>
      </c>
    </row>
    <row r="9" customFormat="false" ht="15" hidden="false" customHeight="false" outlineLevel="0" collapsed="false">
      <c r="A9" s="2" t="s">
        <v>122</v>
      </c>
      <c r="B9" s="2" t="n">
        <f aca="false">COUNTIF('C-Outgoing Analysis'!$D$5:$D$41,A9)</f>
        <v>2</v>
      </c>
      <c r="C9" s="12" t="n">
        <f aca="false">SUMIFS('C-Outgoing Analysis'!$H$5:$H$41,'C-Outgoing Analysis'!$D$5:$D$41,A9)</f>
        <v>750000000</v>
      </c>
      <c r="D9" s="13" t="n">
        <f aca="false">C9/$C$15</f>
        <v>0.0373505976095618</v>
      </c>
      <c r="E9" s="18" t="n">
        <f aca="false">SUMPRODUCT(('C-Outgoing Analysis'!$D$5:$D$41=A9)/COUNTIFS('C-Outgoing Analysis'!$D$5:$D$41,'C-Outgoing Analysis'!$D$5:$D$41,'C-Outgoing Analysis'!$E$5:$E$41,'C-Outgoing Analysis'!$E$5:$E$41))</f>
        <v>2</v>
      </c>
      <c r="F9" s="2" t="n">
        <f aca="false">COUNTIFS('C-Outgoing Analysis'!$D$5:$D$41,A9,'C-Outgoing Analysis'!$N$5:$N$41,"Yes")</f>
        <v>1</v>
      </c>
      <c r="G9" s="2" t="n">
        <f aca="false">COUNTIFS('C-Outgoing Analysis'!$D$5:$D$41,A9,'C-Outgoing Analysis'!$R$5:$R$41,"Not in extract")</f>
        <v>1</v>
      </c>
      <c r="H9" s="12" t="n">
        <f aca="false">SUMIFS('C-Outgoing Analysis'!$H$5:$H$41,'C-Outgoing Analysis'!$D$5:$D$41,A9,'C-Outgoing Analysis'!$N$5:$N$41,"No")</f>
        <v>450000000</v>
      </c>
    </row>
    <row r="10" customFormat="false" ht="15" hidden="false" customHeight="false" outlineLevel="0" collapsed="false">
      <c r="A10" s="2" t="s">
        <v>123</v>
      </c>
      <c r="B10" s="2" t="n">
        <f aca="false">COUNTIF('C-Outgoing Analysis'!$D$5:$D$41,A10)</f>
        <v>2</v>
      </c>
      <c r="C10" s="12" t="n">
        <f aca="false">SUMIFS('C-Outgoing Analysis'!$H$5:$H$41,'C-Outgoing Analysis'!$D$5:$D$41,A10)</f>
        <v>720000000</v>
      </c>
      <c r="D10" s="13" t="n">
        <f aca="false">C10/$C$15</f>
        <v>0.0358565737051793</v>
      </c>
      <c r="E10" s="18" t="n">
        <f aca="false">SUMPRODUCT(('C-Outgoing Analysis'!$D$5:$D$41=A10)/COUNTIFS('C-Outgoing Analysis'!$D$5:$D$41,'C-Outgoing Analysis'!$D$5:$D$41,'C-Outgoing Analysis'!$E$5:$E$41,'C-Outgoing Analysis'!$E$5:$E$41))</f>
        <v>2</v>
      </c>
      <c r="F10" s="2" t="n">
        <f aca="false">COUNTIFS('C-Outgoing Analysis'!$D$5:$D$41,A10,'C-Outgoing Analysis'!$N$5:$N$41,"Yes")</f>
        <v>1</v>
      </c>
      <c r="G10" s="2" t="n">
        <f aca="false">COUNTIFS('C-Outgoing Analysis'!$D$5:$D$41,A10,'C-Outgoing Analysis'!$R$5:$R$41,"Not in extract")</f>
        <v>2</v>
      </c>
      <c r="H10" s="12" t="n">
        <f aca="false">SUMIFS('C-Outgoing Analysis'!$H$5:$H$41,'C-Outgoing Analysis'!$D$5:$D$41,A10,'C-Outgoing Analysis'!$N$5:$N$41,"No")</f>
        <v>520000000</v>
      </c>
    </row>
    <row r="11" customFormat="false" ht="15" hidden="false" customHeight="false" outlineLevel="0" collapsed="false">
      <c r="A11" s="2" t="s">
        <v>124</v>
      </c>
      <c r="B11" s="2" t="n">
        <f aca="false">COUNTIF('C-Outgoing Analysis'!$D$5:$D$41,A11)</f>
        <v>2</v>
      </c>
      <c r="C11" s="12" t="n">
        <f aca="false">SUMIFS('C-Outgoing Analysis'!$H$5:$H$41,'C-Outgoing Analysis'!$D$5:$D$41,A11)</f>
        <v>650000000</v>
      </c>
      <c r="D11" s="13" t="n">
        <f aca="false">C11/$C$15</f>
        <v>0.0323705179282869</v>
      </c>
      <c r="E11" s="18" t="n">
        <f aca="false">SUMPRODUCT(('C-Outgoing Analysis'!$D$5:$D$41=A11)/COUNTIFS('C-Outgoing Analysis'!$D$5:$D$41,'C-Outgoing Analysis'!$D$5:$D$41,'C-Outgoing Analysis'!$E$5:$E$41,'C-Outgoing Analysis'!$E$5:$E$41))</f>
        <v>2</v>
      </c>
      <c r="F11" s="2" t="n">
        <f aca="false">COUNTIFS('C-Outgoing Analysis'!$D$5:$D$41,A11,'C-Outgoing Analysis'!$N$5:$N$41,"Yes")</f>
        <v>1</v>
      </c>
      <c r="G11" s="2" t="n">
        <f aca="false">COUNTIFS('C-Outgoing Analysis'!$D$5:$D$41,A11,'C-Outgoing Analysis'!$R$5:$R$41,"Not in extract")</f>
        <v>2</v>
      </c>
      <c r="H11" s="12" t="n">
        <f aca="false">SUMIFS('C-Outgoing Analysis'!$H$5:$H$41,'C-Outgoing Analysis'!$D$5:$D$41,A11,'C-Outgoing Analysis'!$N$5:$N$41,"No")</f>
        <v>350000000</v>
      </c>
    </row>
    <row r="12" customFormat="false" ht="15" hidden="false" customHeight="false" outlineLevel="0" collapsed="false">
      <c r="A12" s="2" t="s">
        <v>125</v>
      </c>
      <c r="B12" s="2" t="n">
        <f aca="false">COUNTIF('C-Outgoing Analysis'!$D$5:$D$41,A12)</f>
        <v>2</v>
      </c>
      <c r="C12" s="12" t="n">
        <f aca="false">SUMIFS('C-Outgoing Analysis'!$H$5:$H$41,'C-Outgoing Analysis'!$D$5:$D$41,A12)</f>
        <v>650000000</v>
      </c>
      <c r="D12" s="13" t="n">
        <f aca="false">C12/$C$15</f>
        <v>0.0323705179282869</v>
      </c>
      <c r="E12" s="18" t="n">
        <f aca="false">SUMPRODUCT(('C-Outgoing Analysis'!$D$5:$D$41=A12)/COUNTIFS('C-Outgoing Analysis'!$D$5:$D$41,'C-Outgoing Analysis'!$D$5:$D$41,'C-Outgoing Analysis'!$E$5:$E$41,'C-Outgoing Analysis'!$E$5:$E$41))</f>
        <v>2</v>
      </c>
      <c r="F12" s="2" t="n">
        <f aca="false">COUNTIFS('C-Outgoing Analysis'!$D$5:$D$41,A12,'C-Outgoing Analysis'!$N$5:$N$41,"Yes")</f>
        <v>1</v>
      </c>
      <c r="G12" s="2" t="n">
        <f aca="false">COUNTIFS('C-Outgoing Analysis'!$D$5:$D$41,A12,'C-Outgoing Analysis'!$R$5:$R$41,"Not in extract")</f>
        <v>2</v>
      </c>
      <c r="H12" s="12" t="n">
        <f aca="false">SUMIFS('C-Outgoing Analysis'!$H$5:$H$41,'C-Outgoing Analysis'!$D$5:$D$41,A12,'C-Outgoing Analysis'!$N$5:$N$41,"No")</f>
        <v>450000000</v>
      </c>
    </row>
    <row r="13" customFormat="false" ht="15" hidden="false" customHeight="false" outlineLevel="0" collapsed="false">
      <c r="A13" s="2" t="s">
        <v>126</v>
      </c>
      <c r="B13" s="2" t="n">
        <f aca="false">COUNTIF('C-Outgoing Analysis'!$D$5:$D$41,A13)</f>
        <v>2</v>
      </c>
      <c r="C13" s="12" t="n">
        <f aca="false">SUMIFS('C-Outgoing Analysis'!$H$5:$H$41,'C-Outgoing Analysis'!$D$5:$D$41,A13)</f>
        <v>470000000</v>
      </c>
      <c r="D13" s="13" t="n">
        <f aca="false">C13/$C$15</f>
        <v>0.023406374501992</v>
      </c>
      <c r="E13" s="18" t="n">
        <f aca="false">SUMPRODUCT(('C-Outgoing Analysis'!$D$5:$D$41=A13)/COUNTIFS('C-Outgoing Analysis'!$D$5:$D$41,'C-Outgoing Analysis'!$D$5:$D$41,'C-Outgoing Analysis'!$E$5:$E$41,'C-Outgoing Analysis'!$E$5:$E$41))</f>
        <v>2</v>
      </c>
      <c r="F13" s="2" t="n">
        <f aca="false">COUNTIFS('C-Outgoing Analysis'!$D$5:$D$41,A13,'C-Outgoing Analysis'!$N$5:$N$41,"Yes")</f>
        <v>1</v>
      </c>
      <c r="G13" s="2" t="n">
        <f aca="false">COUNTIFS('C-Outgoing Analysis'!$D$5:$D$41,A13,'C-Outgoing Analysis'!$R$5:$R$41,"Not in extract")</f>
        <v>2</v>
      </c>
      <c r="H13" s="12" t="n">
        <f aca="false">SUMIFS('C-Outgoing Analysis'!$H$5:$H$41,'C-Outgoing Analysis'!$D$5:$D$41,A13,'C-Outgoing Analysis'!$N$5:$N$41,"No")</f>
        <v>420000000</v>
      </c>
    </row>
    <row r="14" customFormat="false" ht="15" hidden="false" customHeight="false" outlineLevel="0" collapsed="false">
      <c r="A14" s="2" t="s">
        <v>127</v>
      </c>
      <c r="B14" s="2" t="n">
        <f aca="false">COUNTIF('C-Outgoing Analysis'!$D$5:$D$41,A14)</f>
        <v>2</v>
      </c>
      <c r="C14" s="12" t="n">
        <f aca="false">SUMIFS('C-Outgoing Analysis'!$H$5:$H$41,'C-Outgoing Analysis'!$D$5:$D$41,A14)</f>
        <v>530000000</v>
      </c>
      <c r="D14" s="13" t="n">
        <f aca="false">C14/$C$15</f>
        <v>0.026394422310757</v>
      </c>
      <c r="E14" s="18" t="n">
        <f aca="false">SUMPRODUCT(('C-Outgoing Analysis'!$D$5:$D$41=A14)/COUNTIFS('C-Outgoing Analysis'!$D$5:$D$41,'C-Outgoing Analysis'!$D$5:$D$41,'C-Outgoing Analysis'!$E$5:$E$41,'C-Outgoing Analysis'!$E$5:$E$41))</f>
        <v>2</v>
      </c>
      <c r="F14" s="2" t="n">
        <f aca="false">COUNTIFS('C-Outgoing Analysis'!$D$5:$D$41,A14,'C-Outgoing Analysis'!$N$5:$N$41,"Yes")</f>
        <v>1</v>
      </c>
      <c r="G14" s="2" t="n">
        <f aca="false">COUNTIFS('C-Outgoing Analysis'!$D$5:$D$41,A14,'C-Outgoing Analysis'!$R$5:$R$41,"Not in extract")</f>
        <v>1</v>
      </c>
      <c r="H14" s="12" t="n">
        <f aca="false">SUMIFS('C-Outgoing Analysis'!$H$5:$H$41,'C-Outgoing Analysis'!$D$5:$D$41,A14,'C-Outgoing Analysis'!$N$5:$N$41,"No")</f>
        <v>280000000</v>
      </c>
    </row>
    <row r="15" customFormat="false" ht="15" hidden="false" customHeight="false" outlineLevel="0" collapsed="false">
      <c r="A15" s="9" t="s">
        <v>75</v>
      </c>
      <c r="B15" s="9" t="n">
        <f aca="false">SUM(B5:B14)</f>
        <v>37</v>
      </c>
      <c r="C15" s="15" t="n">
        <f aca="false">SUM(C5:C14)</f>
        <v>20080000000</v>
      </c>
      <c r="D15" s="2"/>
      <c r="E15" s="9" t="n">
        <f aca="false">SUM(E5:E14)</f>
        <v>22</v>
      </c>
      <c r="F15" s="9" t="n">
        <f aca="false">SUM(F5:F14)</f>
        <v>10</v>
      </c>
      <c r="G15" s="9" t="n">
        <f aca="false">SUM(G5:G14)</f>
        <v>17</v>
      </c>
      <c r="H15" s="15" t="n">
        <f aca="false">SUM(H5:H14)</f>
        <v>17580000000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9" t="s">
        <v>128</v>
      </c>
      <c r="B18" s="2"/>
      <c r="C18" s="2"/>
      <c r="D18" s="2"/>
      <c r="E18" s="2"/>
      <c r="F18" s="2"/>
      <c r="G18" s="2"/>
      <c r="H18" s="2"/>
    </row>
    <row r="19" customFormat="false" ht="23.85" hidden="false" customHeight="false" outlineLevel="0" collapsed="false">
      <c r="A19" s="4" t="s">
        <v>91</v>
      </c>
      <c r="B19" s="4" t="s">
        <v>129</v>
      </c>
      <c r="C19" s="4" t="s">
        <v>130</v>
      </c>
      <c r="D19" s="4" t="s">
        <v>131</v>
      </c>
      <c r="E19" s="4" t="s">
        <v>132</v>
      </c>
      <c r="F19" s="2"/>
      <c r="G19" s="2"/>
      <c r="H19" s="2"/>
    </row>
    <row r="20" customFormat="false" ht="15" hidden="false" customHeight="false" outlineLevel="0" collapsed="false">
      <c r="A20" s="2" t="s">
        <v>133</v>
      </c>
      <c r="B20" s="12" t="n">
        <f aca="false">SUMIFS('Incoming Transactions'!$J$2:$J$41,'Incoming Transactions'!$D$2:$D$41,A20)</f>
        <v>13580000000</v>
      </c>
      <c r="C20" s="12" t="n">
        <f aca="false">SUMIFS('C-Outgoing Analysis'!$H$5:$H$41,'C-Outgoing Analysis'!$C$5:$C$41,A20)</f>
        <v>10245000000</v>
      </c>
      <c r="D20" s="12" t="n">
        <f aca="false">SUMIFS('C-Outgoing Analysis'!$H$5:$H$41,'C-Outgoing Analysis'!$C$5:$C$41,A20,'C-Outgoing Analysis'!$O$5:$O$41,"Yes")</f>
        <v>5425000000</v>
      </c>
      <c r="E20" s="13" t="n">
        <f aca="false">D20/C20</f>
        <v>0.529526598340654</v>
      </c>
      <c r="F20" s="2"/>
      <c r="G20" s="2"/>
      <c r="H20" s="2"/>
    </row>
    <row r="21" customFormat="false" ht="15" hidden="false" customHeight="false" outlineLevel="0" collapsed="false">
      <c r="A21" s="2" t="s">
        <v>134</v>
      </c>
      <c r="B21" s="12" t="n">
        <f aca="false">SUMIFS('Incoming Transactions'!$J$2:$J$41,'Incoming Transactions'!$D$2:$D$41,A21)</f>
        <v>13350000000</v>
      </c>
      <c r="C21" s="12" t="n">
        <f aca="false">SUMIFS('C-Outgoing Analysis'!$H$5:$H$41,'C-Outgoing Analysis'!$C$5:$C$41,A21)</f>
        <v>9835000000</v>
      </c>
      <c r="D21" s="12" t="n">
        <f aca="false">SUMIFS('C-Outgoing Analysis'!$H$5:$H$41,'C-Outgoing Analysis'!$C$5:$C$41,A21,'C-Outgoing Analysis'!$O$5:$O$41,"Yes")</f>
        <v>8075000000</v>
      </c>
      <c r="E21" s="13" t="n">
        <f aca="false">D21/C21</f>
        <v>0.821047280122013</v>
      </c>
      <c r="F21" s="2"/>
      <c r="G21" s="2"/>
      <c r="H21" s="2"/>
    </row>
    <row r="22" customFormat="false" ht="15" hidden="false" customHeight="false" outlineLevel="0" collapsed="false">
      <c r="A22" s="9" t="s">
        <v>75</v>
      </c>
      <c r="B22" s="15" t="n">
        <f aca="false">SUM(B20:B21)</f>
        <v>26930000000</v>
      </c>
      <c r="C22" s="15" t="n">
        <f aca="false">SUM(C20:C21)</f>
        <v>20080000000</v>
      </c>
      <c r="D22" s="15" t="n">
        <f aca="false">SUM(D20:D21)</f>
        <v>13500000000</v>
      </c>
      <c r="E22" s="13" t="n">
        <f aca="false">D22/C22</f>
        <v>0.672310756972112</v>
      </c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9" t="s">
        <v>135</v>
      </c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4" t="s">
        <v>89</v>
      </c>
      <c r="B26" s="4" t="s">
        <v>90</v>
      </c>
      <c r="C26" s="4" t="s">
        <v>91</v>
      </c>
      <c r="D26" s="4" t="s">
        <v>95</v>
      </c>
      <c r="E26" s="4" t="s">
        <v>96</v>
      </c>
      <c r="F26" s="4" t="s">
        <v>136</v>
      </c>
      <c r="G26" s="4" t="s">
        <v>137</v>
      </c>
      <c r="H26" s="2"/>
    </row>
    <row r="27" customFormat="false" ht="15" hidden="false" customHeight="false" outlineLevel="0" collapsed="false">
      <c r="A27" s="2" t="str">
        <f aca="false">'C-Outgoing Analysis'!A6</f>
        <v>ESM-OUT-002</v>
      </c>
      <c r="B27" s="14" t="n">
        <f aca="false">'C-Outgoing Analysis'!B6</f>
        <v>45034</v>
      </c>
      <c r="C27" s="2" t="str">
        <f aca="false">'C-Outgoing Analysis'!C6</f>
        <v>ESM-BY-01</v>
      </c>
      <c r="D27" s="2" t="str">
        <f aca="false">'C-Outgoing Analysis'!G6</f>
        <v>REQ-RNS-001</v>
      </c>
      <c r="E27" s="12" t="n">
        <f aca="false">'C-Outgoing Analysis'!H6</f>
        <v>920000000</v>
      </c>
      <c r="F27" s="12" t="n">
        <f aca="false">SUM($E$27:E27)</f>
        <v>920000000</v>
      </c>
      <c r="G27" s="2" t="str">
        <f aca="false">'C-Outgoing Analysis'!I6</f>
        <v>Expansion cost adjustment</v>
      </c>
      <c r="H27" s="2"/>
    </row>
    <row r="28" customFormat="false" ht="15" hidden="false" customHeight="false" outlineLevel="0" collapsed="false">
      <c r="A28" s="2" t="str">
        <f aca="false">'C-Outgoing Analysis'!A7</f>
        <v>ESM-OUT-003</v>
      </c>
      <c r="B28" s="14" t="n">
        <f aca="false">'C-Outgoing Analysis'!B7</f>
        <v>45057</v>
      </c>
      <c r="C28" s="2" t="str">
        <f aca="false">'C-Outgoing Analysis'!C7</f>
        <v>ESM-BX-01</v>
      </c>
      <c r="D28" s="2" t="str">
        <f aca="false">'C-Outgoing Analysis'!G7</f>
        <v>REQ-RNS-015</v>
      </c>
      <c r="E28" s="12" t="n">
        <f aca="false">'C-Outgoing Analysis'!H7</f>
        <v>975000000</v>
      </c>
      <c r="F28" s="12" t="n">
        <f aca="false">SUM($E$27:E28)</f>
        <v>1895000000</v>
      </c>
      <c r="G28" s="2" t="str">
        <f aca="false">'C-Outgoing Analysis'!I7</f>
        <v>Project fund adjustment</v>
      </c>
      <c r="H28" s="2"/>
    </row>
    <row r="29" customFormat="false" ht="15" hidden="false" customHeight="false" outlineLevel="0" collapsed="false">
      <c r="A29" s="2" t="str">
        <f aca="false">'C-Outgoing Analysis'!A10</f>
        <v>ESM-OUT-006</v>
      </c>
      <c r="B29" s="14" t="n">
        <f aca="false">'C-Outgoing Analysis'!B10</f>
        <v>45106</v>
      </c>
      <c r="C29" s="2" t="str">
        <f aca="false">'C-Outgoing Analysis'!C10</f>
        <v>ESM-BY-01</v>
      </c>
      <c r="D29" s="2" t="str">
        <f aca="false">'C-Outgoing Analysis'!G10</f>
        <v>REQ-RNS-007</v>
      </c>
      <c r="E29" s="12" t="n">
        <f aca="false">'C-Outgoing Analysis'!H10</f>
        <v>900000000</v>
      </c>
      <c r="F29" s="12" t="n">
        <f aca="false">SUM($E$27:E29)</f>
        <v>2795000000</v>
      </c>
      <c r="G29" s="2" t="str">
        <f aca="false">'C-Outgoing Analysis'!I10</f>
        <v>Expansion needs management</v>
      </c>
      <c r="H29" s="2"/>
    </row>
    <row r="30" customFormat="false" ht="15" hidden="false" customHeight="false" outlineLevel="0" collapsed="false">
      <c r="A30" s="2" t="str">
        <f aca="false">'C-Outgoing Analysis'!A11</f>
        <v>ESM-OUT-007</v>
      </c>
      <c r="B30" s="14" t="n">
        <f aca="false">'C-Outgoing Analysis'!B11</f>
        <v>45119</v>
      </c>
      <c r="C30" s="2" t="str">
        <f aca="false">'C-Outgoing Analysis'!C11</f>
        <v>ESM-BX-01</v>
      </c>
      <c r="D30" s="2" t="str">
        <f aca="false">'C-Outgoing Analysis'!G11</f>
        <v>REQ-RNS-011</v>
      </c>
      <c r="E30" s="12" t="n">
        <f aca="false">'C-Outgoing Analysis'!H11</f>
        <v>850000000</v>
      </c>
      <c r="F30" s="12" t="n">
        <f aca="false">SUM($E$27:E30)</f>
        <v>3645000000</v>
      </c>
      <c r="G30" s="2" t="str">
        <f aca="false">'C-Outgoing Analysis'!I11</f>
        <v>Expansion cost reimbursement</v>
      </c>
      <c r="H30" s="2"/>
    </row>
    <row r="31" customFormat="false" ht="15" hidden="false" customHeight="false" outlineLevel="0" collapsed="false">
      <c r="A31" s="2" t="str">
        <f aca="false">'C-Outgoing Analysis'!A13</f>
        <v>ESM-OUT-009</v>
      </c>
      <c r="B31" s="14" t="n">
        <f aca="false">'C-Outgoing Analysis'!B13</f>
        <v>45162</v>
      </c>
      <c r="C31" s="2" t="str">
        <f aca="false">'C-Outgoing Analysis'!C13</f>
        <v>ESM-BX-01</v>
      </c>
      <c r="D31" s="2" t="str">
        <f aca="false">'C-Outgoing Analysis'!G13</f>
        <v>REQ-RNS-003</v>
      </c>
      <c r="E31" s="12" t="n">
        <f aca="false">'C-Outgoing Analysis'!H13</f>
        <v>950000000</v>
      </c>
      <c r="F31" s="12" t="n">
        <f aca="false">SUM($E$27:E31)</f>
        <v>4595000000</v>
      </c>
      <c r="G31" s="2" t="str">
        <f aca="false">'C-Outgoing Analysis'!I13</f>
        <v>Outlet needs payment</v>
      </c>
      <c r="H31" s="2"/>
    </row>
    <row r="32" customFormat="false" ht="15" hidden="false" customHeight="false" outlineLevel="0" collapsed="false">
      <c r="A32" s="2" t="str">
        <f aca="false">'C-Outgoing Analysis'!A16</f>
        <v>ESM-OUT-012</v>
      </c>
      <c r="B32" s="14" t="n">
        <f aca="false">'C-Outgoing Analysis'!B16</f>
        <v>45196</v>
      </c>
      <c r="C32" s="2" t="str">
        <f aca="false">'C-Outgoing Analysis'!C16</f>
        <v>ESM-BY-01</v>
      </c>
      <c r="D32" s="2" t="str">
        <f aca="false">'C-Outgoing Analysis'!G16</f>
        <v>REQ-RNS-013</v>
      </c>
      <c r="E32" s="12" t="n">
        <f aca="false">'C-Outgoing Analysis'!H16</f>
        <v>550000000</v>
      </c>
      <c r="F32" s="12" t="n">
        <f aca="false">SUM($E$27:E32)</f>
        <v>5145000000</v>
      </c>
      <c r="G32" s="2" t="str">
        <f aca="false">'C-Outgoing Analysis'!I16</f>
        <v>Operational activity settlement</v>
      </c>
      <c r="H32" s="2"/>
    </row>
    <row r="33" customFormat="false" ht="15" hidden="false" customHeight="false" outlineLevel="0" collapsed="false">
      <c r="A33" s="2" t="str">
        <f aca="false">'C-Outgoing Analysis'!A20</f>
        <v>ESM-OUT-016</v>
      </c>
      <c r="B33" s="14" t="n">
        <f aca="false">'C-Outgoing Analysis'!B20</f>
        <v>45246</v>
      </c>
      <c r="C33" s="2" t="str">
        <f aca="false">'C-Outgoing Analysis'!C20</f>
        <v>ESM-BY-01</v>
      </c>
      <c r="D33" s="2" t="str">
        <f aca="false">'C-Outgoing Analysis'!G20</f>
        <v>REQ-RNS-009</v>
      </c>
      <c r="E33" s="12" t="n">
        <f aca="false">'C-Outgoing Analysis'!H20</f>
        <v>750000000</v>
      </c>
      <c r="F33" s="12" t="n">
        <f aca="false">SUM($E$27:E33)</f>
        <v>5895000000</v>
      </c>
      <c r="G33" s="2" t="str">
        <f aca="false">'C-Outgoing Analysis'!I20</f>
        <v>Payment adjustment</v>
      </c>
      <c r="H33" s="2"/>
    </row>
    <row r="34" customFormat="false" ht="15" hidden="false" customHeight="false" outlineLevel="0" collapsed="false">
      <c r="A34" s="2" t="str">
        <f aca="false">'C-Outgoing Analysis'!A22</f>
        <v>ESM-OUT-018</v>
      </c>
      <c r="B34" s="14" t="n">
        <f aca="false">'C-Outgoing Analysis'!B22</f>
        <v>45271</v>
      </c>
      <c r="C34" s="2" t="str">
        <f aca="false">'C-Outgoing Analysis'!C22</f>
        <v>ESM-BY-01</v>
      </c>
      <c r="D34" s="2" t="str">
        <f aca="false">'C-Outgoing Analysis'!G22</f>
        <v>REQ-RNS-005</v>
      </c>
      <c r="E34" s="12" t="n">
        <f aca="false">'C-Outgoing Analysis'!H22</f>
        <v>975000000</v>
      </c>
      <c r="F34" s="12" t="n">
        <f aca="false">SUM($E$27:E34)</f>
        <v>6870000000</v>
      </c>
      <c r="G34" s="2" t="str">
        <f aca="false">'C-Outgoing Analysis'!I22</f>
        <v>Expansion fund placement</v>
      </c>
      <c r="H34" s="2"/>
    </row>
    <row r="35" customFormat="false" ht="15" hidden="false" customHeight="false" outlineLevel="0" collapsed="false">
      <c r="A35" s="2" t="str">
        <f aca="false">'C-Outgoing Analysis'!A24</f>
        <v>ESM-OUT-020</v>
      </c>
      <c r="B35" s="14" t="n">
        <f aca="false">'C-Outgoing Analysis'!B24</f>
        <v>45308</v>
      </c>
      <c r="C35" s="2" t="str">
        <f aca="false">'C-Outgoing Analysis'!C24</f>
        <v>ESM-BY-01</v>
      </c>
      <c r="D35" s="2" t="str">
        <f aca="false">'C-Outgoing Analysis'!G24</f>
        <v>REQ-RNS-002</v>
      </c>
      <c r="E35" s="12" t="n">
        <f aca="false">'C-Outgoing Analysis'!H24</f>
        <v>880000000</v>
      </c>
      <c r="F35" s="12" t="n">
        <f aca="false">SUM($E$27:E35)</f>
        <v>7750000000</v>
      </c>
      <c r="G35" s="2" t="str">
        <f aca="false">'C-Outgoing Analysis'!I24</f>
        <v>Operational cost settlement</v>
      </c>
      <c r="H35" s="2"/>
    </row>
    <row r="36" customFormat="false" ht="15" hidden="false" customHeight="false" outlineLevel="0" collapsed="false">
      <c r="A36" s="2" t="str">
        <f aca="false">'C-Outgoing Analysis'!A27</f>
        <v>ESM-OUT-023</v>
      </c>
      <c r="B36" s="14" t="n">
        <f aca="false">'C-Outgoing Analysis'!B27</f>
        <v>45345</v>
      </c>
      <c r="C36" s="2" t="str">
        <f aca="false">'C-Outgoing Analysis'!C27</f>
        <v>ESM-BX-01</v>
      </c>
      <c r="D36" s="2" t="str">
        <f aca="false">'C-Outgoing Analysis'!G27</f>
        <v>REQ-RNS-008</v>
      </c>
      <c r="E36" s="12" t="n">
        <f aca="false">'C-Outgoing Analysis'!H27</f>
        <v>850000000</v>
      </c>
      <c r="F36" s="12" t="n">
        <f aca="false">SUM($E$27:E36)</f>
        <v>8600000000</v>
      </c>
      <c r="G36" s="2" t="str">
        <f aca="false">'C-Outgoing Analysis'!I27</f>
        <v>Development cost payment</v>
      </c>
      <c r="H36" s="2"/>
    </row>
    <row r="37" customFormat="false" ht="15" hidden="false" customHeight="false" outlineLevel="0" collapsed="false">
      <c r="A37" s="2" t="str">
        <f aca="false">'C-Outgoing Analysis'!A28</f>
        <v>ESM-OUT-024</v>
      </c>
      <c r="B37" s="14" t="n">
        <f aca="false">'C-Outgoing Analysis'!B28</f>
        <v>45372</v>
      </c>
      <c r="C37" s="2" t="str">
        <f aca="false">'C-Outgoing Analysis'!C28</f>
        <v>ESM-BY-01</v>
      </c>
      <c r="D37" s="2" t="str">
        <f aca="false">'C-Outgoing Analysis'!G28</f>
        <v>REQ-RNS-012</v>
      </c>
      <c r="E37" s="12" t="n">
        <f aca="false">'C-Outgoing Analysis'!H28</f>
        <v>800000000</v>
      </c>
      <c r="F37" s="12" t="n">
        <f aca="false">SUM($E$27:E37)</f>
        <v>9400000000</v>
      </c>
      <c r="G37" s="2" t="str">
        <f aca="false">'C-Outgoing Analysis'!I28</f>
        <v>Expansion activity payment</v>
      </c>
      <c r="H37" s="2"/>
    </row>
    <row r="38" customFormat="false" ht="15" hidden="false" customHeight="false" outlineLevel="0" collapsed="false">
      <c r="A38" s="2" t="str">
        <f aca="false">'C-Outgoing Analysis'!A30</f>
        <v>ESM-OUT-026</v>
      </c>
      <c r="B38" s="14" t="n">
        <f aca="false">'C-Outgoing Analysis'!B30</f>
        <v>45404</v>
      </c>
      <c r="C38" s="2" t="str">
        <f aca="false">'C-Outgoing Analysis'!C30</f>
        <v>ESM-BY-01</v>
      </c>
      <c r="D38" s="2" t="str">
        <f aca="false">'C-Outgoing Analysis'!G30</f>
        <v>CTR-RNS-2024-01</v>
      </c>
      <c r="E38" s="12" t="n">
        <f aca="false">'C-Outgoing Analysis'!H30</f>
        <v>500000000</v>
      </c>
      <c r="F38" s="12" t="n">
        <f aca="false">SUM($E$27:E38)</f>
        <v>9900000000</v>
      </c>
      <c r="G38" s="2" t="str">
        <f aca="false">'C-Outgoing Analysis'!I30</f>
        <v>Area expansion coordination services</v>
      </c>
      <c r="H38" s="2"/>
    </row>
    <row r="39" customFormat="false" ht="15" hidden="false" customHeight="false" outlineLevel="0" collapsed="false">
      <c r="A39" s="2" t="str">
        <f aca="false">'C-Outgoing Analysis'!A31</f>
        <v>ESM-OUT-027</v>
      </c>
      <c r="B39" s="14" t="n">
        <f aca="false">'C-Outgoing Analysis'!B31</f>
        <v>45426</v>
      </c>
      <c r="C39" s="2" t="str">
        <f aca="false">'C-Outgoing Analysis'!C31</f>
        <v>ESM-BX-01</v>
      </c>
      <c r="D39" s="2" t="str">
        <f aca="false">'C-Outgoing Analysis'!G31</f>
        <v>REQ-RNS-004</v>
      </c>
      <c r="E39" s="12" t="n">
        <f aca="false">'C-Outgoing Analysis'!H31</f>
        <v>850000000</v>
      </c>
      <c r="F39" s="12" t="n">
        <f aca="false">SUM($E$27:E39)</f>
        <v>10750000000</v>
      </c>
      <c r="G39" s="2" t="str">
        <f aca="false">'C-Outgoing Analysis'!I31</f>
        <v>Expansion needs management</v>
      </c>
      <c r="H39" s="2"/>
    </row>
    <row r="40" customFormat="false" ht="15" hidden="false" customHeight="false" outlineLevel="0" collapsed="false">
      <c r="A40" s="2" t="str">
        <f aca="false">'C-Outgoing Analysis'!A34</f>
        <v>ESM-OUT-030</v>
      </c>
      <c r="B40" s="14" t="n">
        <f aca="false">'C-Outgoing Analysis'!B34</f>
        <v>45492</v>
      </c>
      <c r="C40" s="2" t="str">
        <f aca="false">'C-Outgoing Analysis'!C34</f>
        <v>ESM-BY-01</v>
      </c>
      <c r="D40" s="2" t="str">
        <f aca="false">'C-Outgoing Analysis'!G34</f>
        <v>REQ-RNS-014</v>
      </c>
      <c r="E40" s="12" t="n">
        <f aca="false">'C-Outgoing Analysis'!H34</f>
        <v>975000000</v>
      </c>
      <c r="F40" s="12" t="n">
        <f aca="false">SUM($E$27:E40)</f>
        <v>11725000000</v>
      </c>
      <c r="G40" s="2" t="str">
        <f aca="false">'C-Outgoing Analysis'!I34</f>
        <v>Development cost reallocation</v>
      </c>
      <c r="H40" s="2"/>
    </row>
    <row r="41" customFormat="false" ht="15" hidden="false" customHeight="false" outlineLevel="0" collapsed="false">
      <c r="A41" s="2" t="str">
        <f aca="false">'C-Outgoing Analysis'!A38</f>
        <v>ESM-OUT-034</v>
      </c>
      <c r="B41" s="14" t="n">
        <f aca="false">'C-Outgoing Analysis'!B38</f>
        <v>45538</v>
      </c>
      <c r="C41" s="2" t="str">
        <f aca="false">'C-Outgoing Analysis'!C38</f>
        <v>ESM-BY-01</v>
      </c>
      <c r="D41" s="2" t="str">
        <f aca="false">'C-Outgoing Analysis'!G38</f>
        <v>REQ-RNS-006</v>
      </c>
      <c r="E41" s="12" t="n">
        <f aca="false">'C-Outgoing Analysis'!H38</f>
        <v>825000000</v>
      </c>
      <c r="F41" s="12" t="n">
        <f aca="false">SUM($E$27:E41)</f>
        <v>12550000000</v>
      </c>
      <c r="G41" s="2" t="str">
        <f aca="false">'C-Outgoing Analysis'!I38</f>
        <v>Project fund adjustment</v>
      </c>
      <c r="H41" s="2"/>
    </row>
    <row r="42" customFormat="false" ht="15" hidden="false" customHeight="false" outlineLevel="0" collapsed="false">
      <c r="A42" s="2" t="str">
        <f aca="false">'C-Outgoing Analysis'!A39</f>
        <v>ESM-OUT-035</v>
      </c>
      <c r="B42" s="14" t="n">
        <f aca="false">'C-Outgoing Analysis'!B39</f>
        <v>45573</v>
      </c>
      <c r="C42" s="2" t="str">
        <f aca="false">'C-Outgoing Analysis'!C39</f>
        <v>ESM-BX-01</v>
      </c>
      <c r="D42" s="2" t="str">
        <f aca="false">'C-Outgoing Analysis'!G39</f>
        <v>REQ-RNS-010</v>
      </c>
      <c r="E42" s="12" t="n">
        <f aca="false">'C-Outgoing Analysis'!H39</f>
        <v>950000000</v>
      </c>
      <c r="F42" s="12" t="n">
        <f aca="false">SUM($E$27:E42)</f>
        <v>13500000000</v>
      </c>
      <c r="G42" s="2" t="str">
        <f aca="false">'C-Outgoing Analysis'!I39</f>
        <v>Operational funds held in custody</v>
      </c>
      <c r="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11" t="s">
        <v>138</v>
      </c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 t="s">
        <v>139</v>
      </c>
      <c r="B45" s="2"/>
      <c r="C45" s="2"/>
      <c r="D45" s="2"/>
      <c r="E45" s="12" t="n">
        <f aca="false">SUM(E27:E42)</f>
        <v>13500000000</v>
      </c>
      <c r="F45" s="2" t="str">
        <f aca="false">IF(E45=C5,"OK - ties to RNS total","MISMATCH")</f>
        <v>OK - ties to RNS total</v>
      </c>
      <c r="G45" s="2"/>
      <c r="H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140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141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107</v>
      </c>
      <c r="B4" s="4" t="s">
        <v>142</v>
      </c>
      <c r="C4" s="4" t="s">
        <v>96</v>
      </c>
      <c r="D4" s="4" t="s">
        <v>113</v>
      </c>
      <c r="E4" s="4" t="s">
        <v>143</v>
      </c>
    </row>
    <row r="5" customFormat="false" ht="45" hidden="false" customHeight="true" outlineLevel="0" collapsed="false">
      <c r="A5" s="2" t="s">
        <v>144</v>
      </c>
      <c r="B5" s="2" t="n">
        <f aca="false">COUNTIF('C-Outgoing Analysis'!$S$5:$S$41,A5)</f>
        <v>15</v>
      </c>
      <c r="C5" s="12" t="n">
        <f aca="false">SUMIFS('C-Outgoing Analysis'!$H$5:$H$41,'C-Outgoing Analysis'!$S$5:$S$41,A5)</f>
        <v>13000000000</v>
      </c>
      <c r="D5" s="13" t="n">
        <f aca="false">C5/$C$9</f>
        <v>0.647410358565737</v>
      </c>
      <c r="E5" s="19" t="s">
        <v>145</v>
      </c>
    </row>
    <row r="6" customFormat="false" ht="45" hidden="false" customHeight="true" outlineLevel="0" collapsed="false">
      <c r="A6" s="2" t="s">
        <v>146</v>
      </c>
      <c r="B6" s="2" t="n">
        <f aca="false">COUNTIF('C-Outgoing Analysis'!$S$5:$S$41,A6)</f>
        <v>1</v>
      </c>
      <c r="C6" s="12" t="n">
        <f aca="false">SUMIFS('C-Outgoing Analysis'!$H$5:$H$41,'C-Outgoing Analysis'!$S$5:$S$41,A6)</f>
        <v>500000000</v>
      </c>
      <c r="D6" s="13" t="n">
        <f aca="false">C6/$C$9</f>
        <v>0.0249003984063745</v>
      </c>
      <c r="E6" s="19" t="s">
        <v>147</v>
      </c>
    </row>
    <row r="7" customFormat="false" ht="45" hidden="false" customHeight="true" outlineLevel="0" collapsed="false">
      <c r="A7" s="2" t="s">
        <v>148</v>
      </c>
      <c r="B7" s="2" t="n">
        <f aca="false">COUNTIF('C-Outgoing Analysis'!$S$5:$S$41,A7)</f>
        <v>12</v>
      </c>
      <c r="C7" s="12" t="n">
        <f aca="false">SUMIFS('C-Outgoing Analysis'!$H$5:$H$41,'C-Outgoing Analysis'!$S$5:$S$41,A7)</f>
        <v>4580000000</v>
      </c>
      <c r="D7" s="13" t="n">
        <f aca="false">C7/$C$9</f>
        <v>0.22808764940239</v>
      </c>
      <c r="E7" s="19" t="s">
        <v>149</v>
      </c>
    </row>
    <row r="8" customFormat="false" ht="45" hidden="false" customHeight="true" outlineLevel="0" collapsed="false">
      <c r="A8" s="2" t="s">
        <v>150</v>
      </c>
      <c r="B8" s="2" t="n">
        <f aca="false">COUNTIF('C-Outgoing Analysis'!$S$5:$S$41,A8)</f>
        <v>9</v>
      </c>
      <c r="C8" s="12" t="n">
        <f aca="false">SUMIFS('C-Outgoing Analysis'!$H$5:$H$41,'C-Outgoing Analysis'!$S$5:$S$41,A8)</f>
        <v>2000000000</v>
      </c>
      <c r="D8" s="13" t="n">
        <f aca="false">C8/$C$9</f>
        <v>0.099601593625498</v>
      </c>
      <c r="E8" s="19" t="s">
        <v>151</v>
      </c>
    </row>
    <row r="9" customFormat="false" ht="15" hidden="false" customHeight="false" outlineLevel="0" collapsed="false">
      <c r="A9" s="9" t="s">
        <v>75</v>
      </c>
      <c r="B9" s="9" t="n">
        <f aca="false">SUM(B5:B8)</f>
        <v>37</v>
      </c>
      <c r="C9" s="15" t="n">
        <f aca="false">SUM(C5:C8)</f>
        <v>20080000000</v>
      </c>
      <c r="D9" s="2"/>
      <c r="E9" s="2"/>
    </row>
    <row r="10" customFormat="false" ht="15" hidden="false" customHeight="false" outlineLevel="0" collapsed="false">
      <c r="A10" s="2" t="s">
        <v>152</v>
      </c>
      <c r="B10" s="2"/>
      <c r="C10" s="12" t="n">
        <f aca="false">SUM('Transaction Evidence'!D2:D38)</f>
        <v>20080000000</v>
      </c>
      <c r="D10" s="2" t="str">
        <f aca="false">IF(C9=C10,"PASS","FAIL")</f>
        <v>PASS</v>
      </c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9" t="s">
        <v>153</v>
      </c>
      <c r="B12" s="2"/>
      <c r="C12" s="2"/>
      <c r="D12" s="2"/>
      <c r="E12" s="2"/>
    </row>
    <row r="13" customFormat="false" ht="15" hidden="false" customHeight="false" outlineLevel="0" collapsed="false">
      <c r="A13" s="2" t="s">
        <v>154</v>
      </c>
      <c r="B13" s="2"/>
      <c r="C13" s="18" t="n">
        <f aca="false">COUNTIF('C-Outgoing Analysis'!P5:P41,"Yes")</f>
        <v>30</v>
      </c>
      <c r="D13" s="2"/>
      <c r="E13" s="2"/>
    </row>
    <row r="14" customFormat="false" ht="15" hidden="false" customHeight="false" outlineLevel="0" collapsed="false">
      <c r="A14" s="2" t="s">
        <v>155</v>
      </c>
      <c r="B14" s="2"/>
      <c r="C14" s="12" t="n">
        <f aca="false">SUMIFS('C-Outgoing Analysis'!H5:H41,'C-Outgoing Analysis'!P5:P41,"Yes")</f>
        <v>18730000000</v>
      </c>
      <c r="D14" s="2"/>
      <c r="E14" s="2"/>
    </row>
    <row r="15" customFormat="false" ht="15" hidden="false" customHeight="false" outlineLevel="0" collapsed="false">
      <c r="A15" s="2" t="s">
        <v>156</v>
      </c>
      <c r="B15" s="2"/>
      <c r="C15" s="18" t="n">
        <f aca="false">COUNTIF('C-Outgoing Analysis'!L5:L41,"USR-FIN-02")</f>
        <v>37</v>
      </c>
      <c r="D15" s="2"/>
      <c r="E15" s="2"/>
    </row>
    <row r="16" customFormat="false" ht="15" hidden="false" customHeight="false" outlineLevel="0" collapsed="false">
      <c r="A16" s="2" t="s">
        <v>157</v>
      </c>
      <c r="B16" s="2"/>
      <c r="C16" s="18" t="n">
        <f aca="false">COUNTIFS('C-Outgoing Analysis'!O5:O41,"Yes",'C-Outgoing Analysis'!Q5:Q41,"Yes")</f>
        <v>7</v>
      </c>
      <c r="D16" s="2"/>
      <c r="E16" s="2"/>
    </row>
    <row r="17" customFormat="false" ht="15" hidden="false" customHeight="false" outlineLevel="0" collapsed="false">
      <c r="A17" s="2" t="s">
        <v>158</v>
      </c>
      <c r="B17" s="2"/>
      <c r="C17" s="18" t="n">
        <f aca="false">COUNTIFS('C-Outgoing Analysis'!O5:O41,"Yes",'C-Outgoing Analysis'!P5:P41,"Yes")</f>
        <v>16</v>
      </c>
      <c r="D17" s="2"/>
      <c r="E17" s="2"/>
    </row>
    <row r="18" customFormat="false" ht="15" hidden="false" customHeight="false" outlineLevel="0" collapsed="false">
      <c r="A18" s="2" t="s">
        <v>159</v>
      </c>
      <c r="B18" s="2"/>
      <c r="C18" s="18" t="n">
        <f aca="false">COUNTIF('C-Outgoing Analysis'!R5:R41,"Not in extract")</f>
        <v>17</v>
      </c>
      <c r="D18" s="2"/>
      <c r="E18" s="2"/>
    </row>
    <row r="19" customFormat="false" ht="15" hidden="false" customHeight="false" outlineLevel="0" collapsed="false">
      <c r="A19" s="2" t="s">
        <v>160</v>
      </c>
      <c r="B19" s="2"/>
      <c r="C19" s="12" t="n">
        <f aca="false">SUMIFS('C-Outgoing Analysis'!H5:H41,'C-Outgoing Analysis'!R5:R41,"Not in extract")</f>
        <v>5230000000</v>
      </c>
      <c r="D19" s="2"/>
      <c r="E19" s="2"/>
    </row>
    <row r="20" customFormat="false" ht="15" hidden="false" customHeight="false" outlineLevel="0" collapsed="false">
      <c r="A20" s="2" t="s">
        <v>161</v>
      </c>
      <c r="B20" s="2"/>
      <c r="C20" s="18" t="n">
        <f aca="false">COUNTIF('C-Outgoing Analysis'!M5:M41,"DIFF")</f>
        <v>0</v>
      </c>
      <c r="D20" s="2"/>
      <c r="E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162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163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</row>
    <row r="5" customFormat="false" ht="31.5" hidden="false" customHeight="true" outlineLevel="0" collapsed="false">
      <c r="A5" s="2" t="n">
        <v>1</v>
      </c>
      <c r="B5" s="2" t="s">
        <v>171</v>
      </c>
      <c r="C5" s="19" t="s">
        <v>172</v>
      </c>
      <c r="D5" s="7" t="n">
        <f aca="false">'D-Fund Tracing'!D5</f>
        <v>0.672310756972112</v>
      </c>
      <c r="E5" s="2" t="s">
        <v>23</v>
      </c>
      <c r="F5" s="2" t="s">
        <v>173</v>
      </c>
      <c r="G5" s="2" t="s">
        <v>174</v>
      </c>
    </row>
    <row r="6" customFormat="false" ht="31.5" hidden="false" customHeight="true" outlineLevel="0" collapsed="false">
      <c r="A6" s="2" t="n">
        <v>2</v>
      </c>
      <c r="B6" s="2" t="s">
        <v>175</v>
      </c>
      <c r="C6" s="19" t="s">
        <v>176</v>
      </c>
      <c r="D6" s="6" t="n">
        <f aca="false">COUNTIFS('C-Outgoing Analysis'!O5:O41,"Yes",'C-Outgoing Analysis'!N5:N41,"No")</f>
        <v>15</v>
      </c>
      <c r="E6" s="2" t="s">
        <v>21</v>
      </c>
      <c r="F6" s="2" t="s">
        <v>173</v>
      </c>
      <c r="G6" s="2" t="s">
        <v>177</v>
      </c>
    </row>
    <row r="7" customFormat="false" ht="31.5" hidden="false" customHeight="true" outlineLevel="0" collapsed="false">
      <c r="A7" s="2" t="n">
        <v>3</v>
      </c>
      <c r="B7" s="2" t="s">
        <v>175</v>
      </c>
      <c r="C7" s="19" t="s">
        <v>178</v>
      </c>
      <c r="D7" s="5" t="n">
        <f aca="false">SUMIFS('C-Outgoing Analysis'!H5:H41,'C-Outgoing Analysis'!O5:O41,"Yes",'C-Outgoing Analysis'!N5:N41,"No")</f>
        <v>13000000000</v>
      </c>
      <c r="E7" s="2" t="s">
        <v>21</v>
      </c>
      <c r="F7" s="2" t="s">
        <v>173</v>
      </c>
      <c r="G7" s="2" t="s">
        <v>177</v>
      </c>
    </row>
    <row r="8" customFormat="false" ht="31.5" hidden="false" customHeight="true" outlineLevel="0" collapsed="false">
      <c r="A8" s="2" t="n">
        <v>4</v>
      </c>
      <c r="B8" s="2" t="s">
        <v>179</v>
      </c>
      <c r="C8" s="19" t="s">
        <v>180</v>
      </c>
      <c r="D8" s="6" t="n">
        <f aca="false">'H-Classification'!C13</f>
        <v>30</v>
      </c>
      <c r="E8" s="2" t="s">
        <v>25</v>
      </c>
      <c r="F8" s="2" t="s">
        <v>173</v>
      </c>
      <c r="G8" s="2" t="s">
        <v>181</v>
      </c>
    </row>
    <row r="9" customFormat="false" ht="31.5" hidden="false" customHeight="true" outlineLevel="0" collapsed="false">
      <c r="A9" s="2" t="n">
        <v>5</v>
      </c>
      <c r="B9" s="2" t="s">
        <v>179</v>
      </c>
      <c r="C9" s="19" t="s">
        <v>182</v>
      </c>
      <c r="D9" s="6" t="n">
        <f aca="false">'H-Classification'!C15</f>
        <v>37</v>
      </c>
      <c r="E9" s="2" t="s">
        <v>25</v>
      </c>
      <c r="F9" s="2" t="s">
        <v>173</v>
      </c>
      <c r="G9" s="2" t="s">
        <v>181</v>
      </c>
    </row>
    <row r="10" customFormat="false" ht="31.5" hidden="false" customHeight="true" outlineLevel="0" collapsed="false">
      <c r="A10" s="2" t="n">
        <v>6</v>
      </c>
      <c r="B10" s="2" t="s">
        <v>179</v>
      </c>
      <c r="C10" s="19" t="s">
        <v>183</v>
      </c>
      <c r="D10" s="6" t="n">
        <f aca="false">'H-Classification'!C16</f>
        <v>7</v>
      </c>
      <c r="E10" s="2" t="s">
        <v>25</v>
      </c>
      <c r="F10" s="2" t="s">
        <v>184</v>
      </c>
      <c r="G10" s="2" t="s">
        <v>185</v>
      </c>
    </row>
    <row r="11" customFormat="false" ht="31.5" hidden="false" customHeight="true" outlineLevel="0" collapsed="false">
      <c r="A11" s="2" t="n">
        <v>7</v>
      </c>
      <c r="B11" s="2" t="s">
        <v>175</v>
      </c>
      <c r="C11" s="19" t="s">
        <v>186</v>
      </c>
      <c r="D11" s="6" t="n">
        <f aca="false">COUNTIFS('C-Outgoing Analysis'!O5:O41,"No",'C-Outgoing Analysis'!N5:N41,"No")</f>
        <v>12</v>
      </c>
      <c r="E11" s="2" t="s">
        <v>21</v>
      </c>
      <c r="F11" s="2" t="s">
        <v>184</v>
      </c>
      <c r="G11" s="2" t="s">
        <v>177</v>
      </c>
    </row>
    <row r="12" customFormat="false" ht="31.5" hidden="false" customHeight="true" outlineLevel="0" collapsed="false">
      <c r="A12" s="2" t="n">
        <v>8</v>
      </c>
      <c r="B12" s="2" t="s">
        <v>92</v>
      </c>
      <c r="C12" s="19" t="s">
        <v>187</v>
      </c>
      <c r="D12" s="6" t="n">
        <f aca="false">'H-Classification'!C18</f>
        <v>17</v>
      </c>
      <c r="E12" s="2" t="s">
        <v>25</v>
      </c>
      <c r="F12" s="2" t="s">
        <v>184</v>
      </c>
      <c r="G12" s="2" t="s">
        <v>188</v>
      </c>
    </row>
    <row r="13" customFormat="false" ht="31.5" hidden="false" customHeight="true" outlineLevel="0" collapsed="false">
      <c r="A13" s="2" t="n">
        <v>9</v>
      </c>
      <c r="B13" s="2" t="s">
        <v>92</v>
      </c>
      <c r="C13" s="19" t="s">
        <v>189</v>
      </c>
      <c r="D13" s="6" t="n">
        <f aca="false">COUNTIF('D-Fund Tracing'!E6:E14,"&gt;1")</f>
        <v>9</v>
      </c>
      <c r="E13" s="2" t="s">
        <v>23</v>
      </c>
      <c r="F13" s="2" t="s">
        <v>184</v>
      </c>
      <c r="G13" s="2" t="s">
        <v>188</v>
      </c>
    </row>
    <row r="14" customFormat="false" ht="31.5" hidden="false" customHeight="true" outlineLevel="0" collapsed="false">
      <c r="A14" s="2" t="n">
        <v>10</v>
      </c>
      <c r="B14" s="2" t="s">
        <v>92</v>
      </c>
      <c r="C14" s="19" t="s">
        <v>190</v>
      </c>
      <c r="D14" s="6" t="n">
        <f aca="false">COUNTIF('C-Outgoing Analysis'!D5:D41,"PT Laut Jawa Tomasan")</f>
        <v>2</v>
      </c>
      <c r="E14" s="2" t="s">
        <v>191</v>
      </c>
      <c r="F14" s="2" t="s">
        <v>184</v>
      </c>
      <c r="G14" s="2" t="s">
        <v>188</v>
      </c>
    </row>
    <row r="15" customFormat="false" ht="31.5" hidden="false" customHeight="true" outlineLevel="0" collapsed="false">
      <c r="A15" s="2" t="n">
        <v>11</v>
      </c>
      <c r="B15" s="2" t="s">
        <v>92</v>
      </c>
      <c r="C15" s="19" t="s">
        <v>192</v>
      </c>
      <c r="D15" s="6" t="n">
        <f aca="false">COUNTIF('C-Outgoing Analysis'!D5:D41,"PT Laut Timor Properti")</f>
        <v>2</v>
      </c>
      <c r="E15" s="2" t="s">
        <v>191</v>
      </c>
      <c r="F15" s="2" t="s">
        <v>184</v>
      </c>
      <c r="G15" s="2" t="s">
        <v>188</v>
      </c>
    </row>
    <row r="16" customFormat="false" ht="31.5" hidden="false" customHeight="true" outlineLevel="0" collapsed="false">
      <c r="A16" s="2" t="n">
        <v>12</v>
      </c>
      <c r="B16" s="2" t="s">
        <v>193</v>
      </c>
      <c r="C16" s="19" t="s">
        <v>194</v>
      </c>
      <c r="D16" s="6" t="s">
        <v>195</v>
      </c>
      <c r="E16" s="2" t="s">
        <v>31</v>
      </c>
      <c r="F16" s="2" t="s">
        <v>173</v>
      </c>
      <c r="G16" s="2" t="s">
        <v>185</v>
      </c>
    </row>
    <row r="17" customFormat="false" ht="31.5" hidden="false" customHeight="true" outlineLevel="0" collapsed="false">
      <c r="A17" s="2" t="n">
        <v>13</v>
      </c>
      <c r="B17" s="2" t="s">
        <v>193</v>
      </c>
      <c r="C17" s="19" t="s">
        <v>196</v>
      </c>
      <c r="D17" s="6" t="s">
        <v>195</v>
      </c>
      <c r="E17" s="2" t="s">
        <v>31</v>
      </c>
      <c r="F17" s="2" t="s">
        <v>197</v>
      </c>
      <c r="G17" s="2" t="s">
        <v>185</v>
      </c>
    </row>
    <row r="18" customFormat="false" ht="31.5" hidden="false" customHeight="true" outlineLevel="0" collapsed="false">
      <c r="A18" s="2" t="n">
        <v>14</v>
      </c>
      <c r="B18" s="2" t="s">
        <v>198</v>
      </c>
      <c r="C18" s="19" t="s">
        <v>199</v>
      </c>
      <c r="D18" s="6" t="n">
        <f aca="false">'B-Receipt Recon'!F48</f>
        <v>21</v>
      </c>
      <c r="E18" s="2" t="s">
        <v>19</v>
      </c>
      <c r="F18" s="2" t="s">
        <v>184</v>
      </c>
      <c r="G18" s="2" t="s">
        <v>200</v>
      </c>
    </row>
    <row r="19" customFormat="false" ht="31.5" hidden="false" customHeight="true" outlineLevel="0" collapsed="false">
      <c r="A19" s="2" t="n">
        <v>15</v>
      </c>
      <c r="B19" s="2" t="s">
        <v>198</v>
      </c>
      <c r="C19" s="19" t="s">
        <v>201</v>
      </c>
      <c r="D19" s="6" t="n">
        <f aca="false">'B-Receipt Recon'!F49</f>
        <v>16</v>
      </c>
      <c r="E19" s="2" t="s">
        <v>19</v>
      </c>
      <c r="F19" s="2" t="s">
        <v>184</v>
      </c>
      <c r="G19" s="2" t="s">
        <v>200</v>
      </c>
    </row>
    <row r="20" customFormat="false" ht="31.5" hidden="false" customHeight="true" outlineLevel="0" collapsed="false">
      <c r="A20" s="2" t="n">
        <v>16</v>
      </c>
      <c r="B20" s="2" t="s">
        <v>137</v>
      </c>
      <c r="C20" s="19" t="s">
        <v>202</v>
      </c>
      <c r="D20" s="6" t="n">
        <f aca="false">COUNTIFS('C-Outgoing Analysis'!O5:O41,"Yes",'C-Outgoing Analysis'!N5:N41,"No")</f>
        <v>15</v>
      </c>
      <c r="E20" s="2" t="s">
        <v>21</v>
      </c>
      <c r="F20" s="2" t="s">
        <v>184</v>
      </c>
      <c r="G20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204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4" t="s">
        <v>205</v>
      </c>
      <c r="B3" s="4" t="s">
        <v>206</v>
      </c>
      <c r="C3" s="4" t="s">
        <v>207</v>
      </c>
    </row>
    <row r="4" customFormat="false" ht="45" hidden="false" customHeight="true" outlineLevel="0" collapsed="false">
      <c r="A4" s="19" t="s">
        <v>208</v>
      </c>
      <c r="B4" s="19" t="s">
        <v>144</v>
      </c>
      <c r="C4" s="19" t="s">
        <v>209</v>
      </c>
    </row>
    <row r="5" customFormat="false" ht="45" hidden="false" customHeight="true" outlineLevel="0" collapsed="false">
      <c r="A5" s="19" t="s">
        <v>208</v>
      </c>
      <c r="B5" s="19" t="s">
        <v>210</v>
      </c>
      <c r="C5" s="19" t="s">
        <v>211</v>
      </c>
    </row>
    <row r="6" customFormat="false" ht="45" hidden="false" customHeight="true" outlineLevel="0" collapsed="false">
      <c r="A6" s="19" t="s">
        <v>208</v>
      </c>
      <c r="B6" s="19" t="s">
        <v>150</v>
      </c>
      <c r="C6" s="19" t="s">
        <v>212</v>
      </c>
    </row>
    <row r="7" customFormat="false" ht="45" hidden="false" customHeight="true" outlineLevel="0" collapsed="false">
      <c r="A7" s="19" t="s">
        <v>208</v>
      </c>
      <c r="B7" s="19" t="s">
        <v>213</v>
      </c>
      <c r="C7" s="19" t="s">
        <v>214</v>
      </c>
    </row>
    <row r="8" customFormat="false" ht="45" hidden="false" customHeight="true" outlineLevel="0" collapsed="false">
      <c r="A8" s="19" t="s">
        <v>208</v>
      </c>
      <c r="B8" s="19" t="s">
        <v>215</v>
      </c>
      <c r="C8" s="19" t="s">
        <v>216</v>
      </c>
    </row>
    <row r="9" customFormat="false" ht="45" hidden="false" customHeight="true" outlineLevel="0" collapsed="false">
      <c r="A9" s="19" t="s">
        <v>217</v>
      </c>
      <c r="B9" s="19" t="s">
        <v>218</v>
      </c>
      <c r="C9" s="19" t="s">
        <v>219</v>
      </c>
    </row>
    <row r="10" customFormat="false" ht="45" hidden="false" customHeight="true" outlineLevel="0" collapsed="false">
      <c r="A10" s="19" t="s">
        <v>217</v>
      </c>
      <c r="B10" s="19" t="s">
        <v>220</v>
      </c>
      <c r="C10" s="19" t="s">
        <v>221</v>
      </c>
    </row>
    <row r="11" customFormat="false" ht="45" hidden="false" customHeight="true" outlineLevel="0" collapsed="false">
      <c r="A11" s="19" t="s">
        <v>217</v>
      </c>
      <c r="B11" s="19" t="s">
        <v>222</v>
      </c>
      <c r="C11" s="19" t="s">
        <v>223</v>
      </c>
    </row>
    <row r="12" customFormat="false" ht="45" hidden="false" customHeight="true" outlineLevel="0" collapsed="false">
      <c r="A12" s="19" t="s">
        <v>217</v>
      </c>
      <c r="B12" s="19" t="s">
        <v>224</v>
      </c>
      <c r="C12" s="19" t="s">
        <v>225</v>
      </c>
    </row>
    <row r="13" customFormat="false" ht="45" hidden="false" customHeight="true" outlineLevel="0" collapsed="false">
      <c r="A13" s="19" t="s">
        <v>226</v>
      </c>
      <c r="B13" s="19" t="s">
        <v>179</v>
      </c>
      <c r="C13" s="19" t="s">
        <v>227</v>
      </c>
    </row>
    <row r="14" customFormat="false" ht="45" hidden="false" customHeight="true" outlineLevel="0" collapsed="false">
      <c r="A14" s="19" t="s">
        <v>226</v>
      </c>
      <c r="B14" s="19" t="s">
        <v>175</v>
      </c>
      <c r="C14" s="19" t="s">
        <v>228</v>
      </c>
    </row>
    <row r="15" customFormat="false" ht="45" hidden="false" customHeight="true" outlineLevel="0" collapsed="false">
      <c r="A15" s="19" t="s">
        <v>226</v>
      </c>
      <c r="B15" s="19" t="s">
        <v>229</v>
      </c>
      <c r="C15" s="19" t="s">
        <v>230</v>
      </c>
    </row>
    <row r="16" customFormat="false" ht="45" hidden="false" customHeight="true" outlineLevel="0" collapsed="false">
      <c r="A16" s="19" t="s">
        <v>226</v>
      </c>
      <c r="B16" s="19" t="s">
        <v>215</v>
      </c>
      <c r="C16" s="19" t="s">
        <v>231</v>
      </c>
    </row>
    <row r="17" customFormat="false" ht="45" hidden="false" customHeight="true" outlineLevel="0" collapsed="false">
      <c r="A17" s="19" t="s">
        <v>226</v>
      </c>
      <c r="B17" s="19" t="s">
        <v>224</v>
      </c>
      <c r="C17" s="19" t="s">
        <v>232</v>
      </c>
    </row>
    <row r="18" customFormat="false" ht="45" hidden="false" customHeight="true" outlineLevel="0" collapsed="false">
      <c r="A18" s="19" t="s">
        <v>233</v>
      </c>
      <c r="B18" s="19" t="s">
        <v>234</v>
      </c>
      <c r="C18" s="19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236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237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9" t="s">
        <v>238</v>
      </c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4" t="s">
        <v>239</v>
      </c>
      <c r="B5" s="4" t="s">
        <v>240</v>
      </c>
      <c r="C5" s="4" t="s">
        <v>241</v>
      </c>
      <c r="D5" s="4" t="s">
        <v>242</v>
      </c>
      <c r="E5" s="4" t="s">
        <v>243</v>
      </c>
      <c r="F5" s="4" t="s">
        <v>244</v>
      </c>
      <c r="G5" s="4" t="s">
        <v>245</v>
      </c>
      <c r="H5" s="2"/>
      <c r="I5" s="2"/>
    </row>
    <row r="6" customFormat="false" ht="15" hidden="false" customHeight="false" outlineLevel="0" collapsed="false">
      <c r="A6" s="20" t="s">
        <v>246</v>
      </c>
      <c r="B6" s="20" t="s">
        <v>119</v>
      </c>
      <c r="C6" s="20" t="s">
        <v>247</v>
      </c>
      <c r="D6" s="20" t="s">
        <v>248</v>
      </c>
      <c r="E6" s="20" t="s">
        <v>249</v>
      </c>
      <c r="F6" s="20" t="s">
        <v>250</v>
      </c>
      <c r="G6" s="20" t="s">
        <v>251</v>
      </c>
      <c r="H6" s="2"/>
      <c r="I6" s="2"/>
    </row>
    <row r="7" customFormat="false" ht="15" hidden="false" customHeight="false" outlineLevel="0" collapsed="false">
      <c r="A7" s="20" t="s">
        <v>252</v>
      </c>
      <c r="B7" s="20" t="s">
        <v>253</v>
      </c>
      <c r="C7" s="20" t="s">
        <v>247</v>
      </c>
      <c r="D7" s="20" t="s">
        <v>254</v>
      </c>
      <c r="E7" s="20" t="s">
        <v>255</v>
      </c>
      <c r="F7" s="20" t="s">
        <v>256</v>
      </c>
      <c r="G7" s="20" t="s">
        <v>251</v>
      </c>
      <c r="H7" s="2"/>
      <c r="I7" s="2"/>
    </row>
    <row r="8" customFormat="false" ht="15" hidden="false" customHeight="false" outlineLevel="0" collapsed="false">
      <c r="A8" s="20" t="s">
        <v>257</v>
      </c>
      <c r="B8" s="20" t="s">
        <v>118</v>
      </c>
      <c r="C8" s="20" t="s">
        <v>247</v>
      </c>
      <c r="D8" s="20" t="s">
        <v>248</v>
      </c>
      <c r="E8" s="20" t="s">
        <v>258</v>
      </c>
      <c r="F8" s="20" t="s">
        <v>259</v>
      </c>
      <c r="G8" s="20" t="s">
        <v>260</v>
      </c>
      <c r="H8" s="2"/>
      <c r="I8" s="2"/>
    </row>
    <row r="9" customFormat="false" ht="15" hidden="false" customHeight="false" outlineLevel="0" collapsed="false">
      <c r="A9" s="20" t="s">
        <v>261</v>
      </c>
      <c r="B9" s="20" t="s">
        <v>127</v>
      </c>
      <c r="C9" s="20" t="s">
        <v>247</v>
      </c>
      <c r="D9" s="20" t="s">
        <v>262</v>
      </c>
      <c r="E9" s="20" t="s">
        <v>263</v>
      </c>
      <c r="F9" s="20" t="s">
        <v>264</v>
      </c>
      <c r="G9" s="20" t="s">
        <v>265</v>
      </c>
      <c r="H9" s="2"/>
      <c r="I9" s="2"/>
    </row>
    <row r="10" customFormat="false" ht="15" hidden="false" customHeight="false" outlineLevel="0" collapsed="false">
      <c r="A10" s="20" t="s">
        <v>266</v>
      </c>
      <c r="B10" s="20" t="s">
        <v>123</v>
      </c>
      <c r="C10" s="20" t="s">
        <v>247</v>
      </c>
      <c r="D10" s="20" t="s">
        <v>267</v>
      </c>
      <c r="E10" s="20" t="s">
        <v>268</v>
      </c>
      <c r="F10" s="20" t="s">
        <v>250</v>
      </c>
      <c r="G10" s="20" t="s">
        <v>260</v>
      </c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9" t="s">
        <v>269</v>
      </c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4" t="s">
        <v>270</v>
      </c>
      <c r="B13" s="4" t="s">
        <v>92</v>
      </c>
      <c r="C13" s="4" t="s">
        <v>271</v>
      </c>
      <c r="D13" s="4" t="s">
        <v>272</v>
      </c>
      <c r="E13" s="4" t="s">
        <v>273</v>
      </c>
      <c r="F13" s="4" t="s">
        <v>274</v>
      </c>
      <c r="G13" s="4" t="s">
        <v>275</v>
      </c>
      <c r="H13" s="4" t="s">
        <v>276</v>
      </c>
      <c r="I13" s="4" t="s">
        <v>241</v>
      </c>
    </row>
    <row r="14" customFormat="false" ht="15" hidden="false" customHeight="false" outlineLevel="0" collapsed="false">
      <c r="A14" s="20" t="s">
        <v>277</v>
      </c>
      <c r="B14" s="20" t="s">
        <v>119</v>
      </c>
      <c r="C14" s="20" t="s">
        <v>278</v>
      </c>
      <c r="D14" s="20" t="s">
        <v>279</v>
      </c>
      <c r="E14" s="20" t="s">
        <v>280</v>
      </c>
      <c r="F14" s="20" t="s">
        <v>281</v>
      </c>
      <c r="G14" s="20" t="s">
        <v>251</v>
      </c>
      <c r="H14" s="20" t="s">
        <v>282</v>
      </c>
      <c r="I14" s="20" t="s">
        <v>283</v>
      </c>
    </row>
    <row r="15" customFormat="false" ht="15" hidden="false" customHeight="false" outlineLevel="0" collapsed="false">
      <c r="A15" s="20" t="s">
        <v>284</v>
      </c>
      <c r="B15" s="20" t="s">
        <v>253</v>
      </c>
      <c r="C15" s="20" t="s">
        <v>285</v>
      </c>
      <c r="D15" s="20" t="s">
        <v>279</v>
      </c>
      <c r="E15" s="20" t="s">
        <v>280</v>
      </c>
      <c r="F15" s="20" t="s">
        <v>254</v>
      </c>
      <c r="G15" s="20" t="s">
        <v>251</v>
      </c>
      <c r="H15" s="20" t="s">
        <v>282</v>
      </c>
      <c r="I15" s="20" t="s">
        <v>283</v>
      </c>
    </row>
    <row r="16" customFormat="false" ht="15" hidden="false" customHeight="false" outlineLevel="0" collapsed="false">
      <c r="A16" s="20" t="s">
        <v>286</v>
      </c>
      <c r="B16" s="20" t="s">
        <v>118</v>
      </c>
      <c r="C16" s="20" t="s">
        <v>287</v>
      </c>
      <c r="D16" s="20" t="s">
        <v>288</v>
      </c>
      <c r="E16" s="20" t="s">
        <v>280</v>
      </c>
      <c r="F16" s="20" t="s">
        <v>289</v>
      </c>
      <c r="G16" s="20" t="s">
        <v>290</v>
      </c>
      <c r="H16" s="20" t="s">
        <v>291</v>
      </c>
      <c r="I16" s="20" t="s">
        <v>283</v>
      </c>
    </row>
    <row r="17" customFormat="false" ht="15" hidden="false" customHeight="false" outlineLevel="0" collapsed="false">
      <c r="A17" s="20" t="s">
        <v>292</v>
      </c>
      <c r="B17" s="20" t="s">
        <v>123</v>
      </c>
      <c r="C17" s="20" t="s">
        <v>293</v>
      </c>
      <c r="D17" s="20" t="s">
        <v>294</v>
      </c>
      <c r="E17" s="20" t="s">
        <v>280</v>
      </c>
      <c r="F17" s="20" t="s">
        <v>267</v>
      </c>
      <c r="G17" s="20" t="s">
        <v>265</v>
      </c>
      <c r="H17" s="20" t="s">
        <v>291</v>
      </c>
      <c r="I17" s="20" t="s">
        <v>283</v>
      </c>
    </row>
    <row r="18" customFormat="false" ht="15" hidden="false" customHeight="false" outlineLevel="0" collapsed="false">
      <c r="A18" s="20" t="s">
        <v>295</v>
      </c>
      <c r="B18" s="20" t="s">
        <v>127</v>
      </c>
      <c r="C18" s="20" t="s">
        <v>296</v>
      </c>
      <c r="D18" s="20" t="s">
        <v>297</v>
      </c>
      <c r="E18" s="20" t="s">
        <v>298</v>
      </c>
      <c r="F18" s="20" t="s">
        <v>299</v>
      </c>
      <c r="G18" s="20" t="s">
        <v>290</v>
      </c>
      <c r="H18" s="20" t="s">
        <v>291</v>
      </c>
      <c r="I18" s="20" t="s">
        <v>283</v>
      </c>
    </row>
    <row r="19" customFormat="false" ht="15" hidden="false" customHeight="false" outlineLevel="0" collapsed="false">
      <c r="A19" s="20" t="s">
        <v>300</v>
      </c>
      <c r="B19" s="20" t="s">
        <v>121</v>
      </c>
      <c r="C19" s="20" t="s">
        <v>301</v>
      </c>
      <c r="D19" s="20" t="s">
        <v>294</v>
      </c>
      <c r="E19" s="20" t="s">
        <v>280</v>
      </c>
      <c r="F19" s="20" t="s">
        <v>302</v>
      </c>
      <c r="G19" s="20" t="s">
        <v>265</v>
      </c>
      <c r="H19" s="20" t="s">
        <v>282</v>
      </c>
      <c r="I19" s="20" t="s">
        <v>283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11" t="s">
        <v>303</v>
      </c>
      <c r="B21" s="2"/>
      <c r="C21" s="2"/>
      <c r="D21" s="2"/>
      <c r="E21" s="2"/>
      <c r="F21" s="2"/>
      <c r="G21" s="2"/>
      <c r="H21" s="2"/>
      <c r="I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1" min="10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1" t="s">
        <v>304</v>
      </c>
      <c r="B1" s="21" t="s">
        <v>95</v>
      </c>
      <c r="C1" s="21" t="s">
        <v>58</v>
      </c>
      <c r="D1" s="21" t="s">
        <v>305</v>
      </c>
      <c r="E1" s="21" t="s">
        <v>306</v>
      </c>
      <c r="F1" s="21" t="s">
        <v>307</v>
      </c>
      <c r="G1" s="21" t="s">
        <v>70</v>
      </c>
      <c r="H1" s="21" t="s">
        <v>308</v>
      </c>
      <c r="I1" s="21" t="s">
        <v>309</v>
      </c>
      <c r="J1" s="21" t="s">
        <v>310</v>
      </c>
      <c r="K1" s="21" t="s">
        <v>71</v>
      </c>
      <c r="L1" s="21" t="s">
        <v>311</v>
      </c>
    </row>
    <row r="2" customFormat="false" ht="14.25" hidden="false" customHeight="false" outlineLevel="0" collapsed="false">
      <c r="A2" s="22" t="n">
        <v>1</v>
      </c>
      <c r="B2" s="22" t="s">
        <v>312</v>
      </c>
      <c r="C2" s="22" t="s">
        <v>313</v>
      </c>
      <c r="D2" s="22" t="s">
        <v>314</v>
      </c>
      <c r="E2" s="22" t="s">
        <v>250</v>
      </c>
      <c r="F2" s="22" t="s">
        <v>315</v>
      </c>
      <c r="G2" s="22" t="s">
        <v>316</v>
      </c>
      <c r="H2" s="23" t="n">
        <v>650000000</v>
      </c>
      <c r="I2" s="22" t="s">
        <v>133</v>
      </c>
      <c r="J2" s="22" t="s">
        <v>247</v>
      </c>
      <c r="K2" s="22" t="s">
        <v>317</v>
      </c>
      <c r="L2" s="22" t="s">
        <v>318</v>
      </c>
    </row>
    <row r="3" customFormat="false" ht="14.25" hidden="false" customHeight="false" outlineLevel="0" collapsed="false">
      <c r="A3" s="22" t="n">
        <v>2</v>
      </c>
      <c r="B3" s="22" t="s">
        <v>319</v>
      </c>
      <c r="C3" s="22" t="s">
        <v>320</v>
      </c>
      <c r="D3" s="22" t="s">
        <v>321</v>
      </c>
      <c r="E3" s="22" t="s">
        <v>322</v>
      </c>
      <c r="F3" s="22" t="s">
        <v>323</v>
      </c>
      <c r="G3" s="22" t="s">
        <v>324</v>
      </c>
      <c r="H3" s="23" t="n">
        <v>720000000</v>
      </c>
      <c r="I3" s="22" t="s">
        <v>134</v>
      </c>
      <c r="J3" s="22" t="s">
        <v>247</v>
      </c>
      <c r="K3" s="22" t="s">
        <v>325</v>
      </c>
      <c r="L3" s="22" t="s">
        <v>318</v>
      </c>
    </row>
    <row r="4" customFormat="false" ht="14.25" hidden="false" customHeight="false" outlineLevel="0" collapsed="false">
      <c r="A4" s="22" t="n">
        <v>3</v>
      </c>
      <c r="B4" s="22" t="s">
        <v>326</v>
      </c>
      <c r="C4" s="22" t="s">
        <v>327</v>
      </c>
      <c r="D4" s="22" t="s">
        <v>328</v>
      </c>
      <c r="E4" s="22" t="s">
        <v>329</v>
      </c>
      <c r="F4" s="22" t="s">
        <v>330</v>
      </c>
      <c r="G4" s="22" t="s">
        <v>331</v>
      </c>
      <c r="H4" s="23" t="n">
        <v>540000000</v>
      </c>
      <c r="I4" s="22" t="s">
        <v>133</v>
      </c>
      <c r="J4" s="22" t="s">
        <v>247</v>
      </c>
      <c r="K4" s="22" t="s">
        <v>332</v>
      </c>
      <c r="L4" s="22" t="s">
        <v>318</v>
      </c>
    </row>
    <row r="5" customFormat="false" ht="14.25" hidden="false" customHeight="false" outlineLevel="0" collapsed="false">
      <c r="A5" s="22" t="n">
        <v>4</v>
      </c>
      <c r="B5" s="22" t="s">
        <v>333</v>
      </c>
      <c r="C5" s="22" t="s">
        <v>334</v>
      </c>
      <c r="D5" s="22" t="s">
        <v>335</v>
      </c>
      <c r="E5" s="22" t="s">
        <v>336</v>
      </c>
      <c r="F5" s="22" t="s">
        <v>315</v>
      </c>
      <c r="G5" s="22" t="s">
        <v>337</v>
      </c>
      <c r="H5" s="23" t="n">
        <v>800000000</v>
      </c>
      <c r="I5" s="22" t="s">
        <v>134</v>
      </c>
      <c r="J5" s="22" t="s">
        <v>247</v>
      </c>
      <c r="K5" s="22" t="s">
        <v>338</v>
      </c>
      <c r="L5" s="22" t="s">
        <v>318</v>
      </c>
    </row>
    <row r="6" customFormat="false" ht="14.25" hidden="false" customHeight="false" outlineLevel="0" collapsed="false">
      <c r="A6" s="22" t="n">
        <v>5</v>
      </c>
      <c r="B6" s="22" t="s">
        <v>339</v>
      </c>
      <c r="C6" s="22" t="s">
        <v>340</v>
      </c>
      <c r="D6" s="22" t="s">
        <v>341</v>
      </c>
      <c r="E6" s="22" t="s">
        <v>342</v>
      </c>
      <c r="F6" s="22" t="s">
        <v>323</v>
      </c>
      <c r="G6" s="22" t="s">
        <v>343</v>
      </c>
      <c r="H6" s="23" t="n">
        <v>610000000</v>
      </c>
      <c r="I6" s="22" t="s">
        <v>133</v>
      </c>
      <c r="J6" s="22" t="s">
        <v>247</v>
      </c>
      <c r="K6" s="22" t="s">
        <v>344</v>
      </c>
      <c r="L6" s="22" t="s">
        <v>318</v>
      </c>
    </row>
    <row r="7" customFormat="false" ht="14.25" hidden="false" customHeight="false" outlineLevel="0" collapsed="false">
      <c r="A7" s="22" t="n">
        <v>6</v>
      </c>
      <c r="B7" s="22" t="s">
        <v>345</v>
      </c>
      <c r="C7" s="22" t="s">
        <v>346</v>
      </c>
      <c r="D7" s="22" t="s">
        <v>347</v>
      </c>
      <c r="E7" s="22" t="s">
        <v>250</v>
      </c>
      <c r="F7" s="22" t="s">
        <v>330</v>
      </c>
      <c r="G7" s="22" t="s">
        <v>348</v>
      </c>
      <c r="H7" s="23" t="n">
        <v>700000000</v>
      </c>
      <c r="I7" s="22" t="s">
        <v>134</v>
      </c>
      <c r="J7" s="22" t="s">
        <v>247</v>
      </c>
      <c r="K7" s="22" t="s">
        <v>349</v>
      </c>
      <c r="L7" s="22" t="s">
        <v>318</v>
      </c>
    </row>
    <row r="8" customFormat="false" ht="14.25" hidden="false" customHeight="false" outlineLevel="0" collapsed="false">
      <c r="A8" s="22" t="n">
        <v>7</v>
      </c>
      <c r="B8" s="22" t="s">
        <v>350</v>
      </c>
      <c r="C8" s="22" t="s">
        <v>351</v>
      </c>
      <c r="D8" s="22" t="s">
        <v>352</v>
      </c>
      <c r="E8" s="22" t="s">
        <v>322</v>
      </c>
      <c r="F8" s="22" t="s">
        <v>315</v>
      </c>
      <c r="G8" s="22" t="s">
        <v>353</v>
      </c>
      <c r="H8" s="23" t="n">
        <v>560000000</v>
      </c>
      <c r="I8" s="22" t="s">
        <v>133</v>
      </c>
      <c r="J8" s="22" t="s">
        <v>247</v>
      </c>
      <c r="K8" s="22" t="s">
        <v>354</v>
      </c>
      <c r="L8" s="22" t="s">
        <v>318</v>
      </c>
    </row>
    <row r="9" customFormat="false" ht="14.25" hidden="false" customHeight="false" outlineLevel="0" collapsed="false">
      <c r="A9" s="22" t="n">
        <v>8</v>
      </c>
      <c r="B9" s="22" t="s">
        <v>355</v>
      </c>
      <c r="C9" s="22" t="s">
        <v>356</v>
      </c>
      <c r="D9" s="22" t="s">
        <v>357</v>
      </c>
      <c r="E9" s="22" t="s">
        <v>329</v>
      </c>
      <c r="F9" s="22" t="s">
        <v>323</v>
      </c>
      <c r="G9" s="22" t="s">
        <v>358</v>
      </c>
      <c r="H9" s="23" t="n">
        <v>750000000</v>
      </c>
      <c r="I9" s="22" t="s">
        <v>134</v>
      </c>
      <c r="J9" s="22" t="s">
        <v>247</v>
      </c>
      <c r="K9" s="22" t="s">
        <v>359</v>
      </c>
      <c r="L9" s="22" t="s">
        <v>318</v>
      </c>
    </row>
    <row r="10" customFormat="false" ht="14.25" hidden="false" customHeight="false" outlineLevel="0" collapsed="false">
      <c r="A10" s="22" t="n">
        <v>9</v>
      </c>
      <c r="B10" s="22" t="s">
        <v>360</v>
      </c>
      <c r="C10" s="22" t="s">
        <v>361</v>
      </c>
      <c r="D10" s="22" t="s">
        <v>362</v>
      </c>
      <c r="E10" s="22" t="s">
        <v>336</v>
      </c>
      <c r="F10" s="22" t="s">
        <v>330</v>
      </c>
      <c r="G10" s="22" t="s">
        <v>363</v>
      </c>
      <c r="H10" s="23" t="n">
        <v>630000000</v>
      </c>
      <c r="I10" s="22" t="s">
        <v>133</v>
      </c>
      <c r="J10" s="22" t="s">
        <v>247</v>
      </c>
      <c r="K10" s="22" t="s">
        <v>364</v>
      </c>
      <c r="L10" s="22" t="s">
        <v>318</v>
      </c>
    </row>
    <row r="11" customFormat="false" ht="14.25" hidden="false" customHeight="false" outlineLevel="0" collapsed="false">
      <c r="A11" s="22" t="n">
        <v>10</v>
      </c>
      <c r="B11" s="22" t="s">
        <v>365</v>
      </c>
      <c r="C11" s="22" t="s">
        <v>366</v>
      </c>
      <c r="D11" s="22" t="s">
        <v>367</v>
      </c>
      <c r="E11" s="22" t="s">
        <v>342</v>
      </c>
      <c r="F11" s="22" t="s">
        <v>315</v>
      </c>
      <c r="G11" s="22" t="s">
        <v>368</v>
      </c>
      <c r="H11" s="23" t="n">
        <v>890000000</v>
      </c>
      <c r="I11" s="22" t="s">
        <v>134</v>
      </c>
      <c r="J11" s="22" t="s">
        <v>247</v>
      </c>
      <c r="K11" s="22" t="s">
        <v>369</v>
      </c>
      <c r="L11" s="22" t="s">
        <v>318</v>
      </c>
    </row>
    <row r="12" customFormat="false" ht="14.25" hidden="false" customHeight="false" outlineLevel="0" collapsed="false">
      <c r="A12" s="22" t="n">
        <v>11</v>
      </c>
      <c r="B12" s="22" t="s">
        <v>370</v>
      </c>
      <c r="C12" s="22" t="s">
        <v>371</v>
      </c>
      <c r="D12" s="22" t="s">
        <v>372</v>
      </c>
      <c r="E12" s="22" t="s">
        <v>250</v>
      </c>
      <c r="F12" s="22" t="s">
        <v>323</v>
      </c>
      <c r="G12" s="22" t="s">
        <v>373</v>
      </c>
      <c r="H12" s="23" t="n">
        <v>700000000</v>
      </c>
      <c r="I12" s="22" t="s">
        <v>133</v>
      </c>
      <c r="J12" s="22" t="s">
        <v>247</v>
      </c>
      <c r="K12" s="22" t="s">
        <v>374</v>
      </c>
      <c r="L12" s="22" t="s">
        <v>318</v>
      </c>
    </row>
    <row r="13" customFormat="false" ht="14.25" hidden="false" customHeight="false" outlineLevel="0" collapsed="false">
      <c r="A13" s="22" t="n">
        <v>12</v>
      </c>
      <c r="B13" s="22" t="s">
        <v>375</v>
      </c>
      <c r="C13" s="22" t="s">
        <v>376</v>
      </c>
      <c r="D13" s="22" t="s">
        <v>377</v>
      </c>
      <c r="E13" s="22" t="s">
        <v>322</v>
      </c>
      <c r="F13" s="22" t="s">
        <v>330</v>
      </c>
      <c r="G13" s="22" t="s">
        <v>378</v>
      </c>
      <c r="H13" s="23" t="n">
        <v>500000000</v>
      </c>
      <c r="I13" s="22" t="s">
        <v>134</v>
      </c>
      <c r="J13" s="22" t="s">
        <v>247</v>
      </c>
      <c r="K13" s="22" t="s">
        <v>379</v>
      </c>
      <c r="L13" s="22" t="s">
        <v>318</v>
      </c>
    </row>
    <row r="14" customFormat="false" ht="14.25" hidden="false" customHeight="false" outlineLevel="0" collapsed="false">
      <c r="A14" s="22" t="n">
        <v>13</v>
      </c>
      <c r="B14" s="22" t="s">
        <v>380</v>
      </c>
      <c r="C14" s="22" t="s">
        <v>381</v>
      </c>
      <c r="D14" s="22" t="s">
        <v>382</v>
      </c>
      <c r="E14" s="22" t="s">
        <v>329</v>
      </c>
      <c r="F14" s="22" t="s">
        <v>315</v>
      </c>
      <c r="G14" s="22" t="s">
        <v>383</v>
      </c>
      <c r="H14" s="23" t="n">
        <v>650000000</v>
      </c>
      <c r="I14" s="22" t="s">
        <v>133</v>
      </c>
      <c r="J14" s="22" t="s">
        <v>247</v>
      </c>
      <c r="K14" s="22" t="s">
        <v>384</v>
      </c>
      <c r="L14" s="22" t="s">
        <v>318</v>
      </c>
    </row>
    <row r="15" customFormat="false" ht="14.25" hidden="false" customHeight="false" outlineLevel="0" collapsed="false">
      <c r="A15" s="22" t="n">
        <v>14</v>
      </c>
      <c r="B15" s="22" t="s">
        <v>385</v>
      </c>
      <c r="C15" s="22" t="s">
        <v>386</v>
      </c>
      <c r="D15" s="22" t="s">
        <v>387</v>
      </c>
      <c r="E15" s="22" t="s">
        <v>336</v>
      </c>
      <c r="F15" s="22" t="s">
        <v>323</v>
      </c>
      <c r="G15" s="22" t="s">
        <v>388</v>
      </c>
      <c r="H15" s="23" t="n">
        <v>600000000</v>
      </c>
      <c r="I15" s="22" t="s">
        <v>134</v>
      </c>
      <c r="J15" s="22" t="s">
        <v>247</v>
      </c>
      <c r="K15" s="22" t="s">
        <v>389</v>
      </c>
      <c r="L15" s="22" t="s">
        <v>318</v>
      </c>
    </row>
    <row r="16" customFormat="false" ht="14.25" hidden="false" customHeight="false" outlineLevel="0" collapsed="false">
      <c r="A16" s="22" t="n">
        <v>15</v>
      </c>
      <c r="B16" s="22" t="s">
        <v>390</v>
      </c>
      <c r="C16" s="22" t="s">
        <v>391</v>
      </c>
      <c r="D16" s="22" t="s">
        <v>392</v>
      </c>
      <c r="E16" s="22" t="s">
        <v>342</v>
      </c>
      <c r="F16" s="22" t="s">
        <v>330</v>
      </c>
      <c r="G16" s="22" t="s">
        <v>393</v>
      </c>
      <c r="H16" s="23" t="n">
        <v>800000000</v>
      </c>
      <c r="I16" s="22" t="s">
        <v>133</v>
      </c>
      <c r="J16" s="22" t="s">
        <v>247</v>
      </c>
      <c r="K16" s="22" t="s">
        <v>394</v>
      </c>
      <c r="L16" s="22" t="s">
        <v>318</v>
      </c>
    </row>
    <row r="17" customFormat="false" ht="14.25" hidden="false" customHeight="false" outlineLevel="0" collapsed="false">
      <c r="A17" s="22" t="n">
        <v>16</v>
      </c>
      <c r="B17" s="22" t="s">
        <v>395</v>
      </c>
      <c r="C17" s="22" t="s">
        <v>396</v>
      </c>
      <c r="D17" s="22" t="s">
        <v>397</v>
      </c>
      <c r="E17" s="22" t="s">
        <v>250</v>
      </c>
      <c r="F17" s="22" t="s">
        <v>315</v>
      </c>
      <c r="G17" s="22" t="s">
        <v>398</v>
      </c>
      <c r="H17" s="23" t="n">
        <v>520000000</v>
      </c>
      <c r="I17" s="22" t="s">
        <v>134</v>
      </c>
      <c r="J17" s="22" t="s">
        <v>247</v>
      </c>
      <c r="K17" s="22" t="s">
        <v>399</v>
      </c>
      <c r="L17" s="22" t="s">
        <v>318</v>
      </c>
    </row>
    <row r="18" customFormat="false" ht="14.25" hidden="false" customHeight="false" outlineLevel="0" collapsed="false">
      <c r="A18" s="22" t="n">
        <v>17</v>
      </c>
      <c r="B18" s="22" t="s">
        <v>400</v>
      </c>
      <c r="C18" s="22" t="s">
        <v>401</v>
      </c>
      <c r="D18" s="22" t="s">
        <v>402</v>
      </c>
      <c r="E18" s="22" t="s">
        <v>322</v>
      </c>
      <c r="F18" s="22" t="s">
        <v>323</v>
      </c>
      <c r="G18" s="22" t="s">
        <v>403</v>
      </c>
      <c r="H18" s="23" t="n">
        <v>750000000</v>
      </c>
      <c r="I18" s="22" t="s">
        <v>133</v>
      </c>
      <c r="J18" s="22" t="s">
        <v>247</v>
      </c>
      <c r="K18" s="22" t="s">
        <v>404</v>
      </c>
      <c r="L18" s="22" t="s">
        <v>318</v>
      </c>
    </row>
    <row r="19" customFormat="false" ht="14.25" hidden="false" customHeight="false" outlineLevel="0" collapsed="false">
      <c r="A19" s="22" t="n">
        <v>18</v>
      </c>
      <c r="B19" s="22" t="s">
        <v>405</v>
      </c>
      <c r="C19" s="22" t="s">
        <v>406</v>
      </c>
      <c r="D19" s="22" t="s">
        <v>407</v>
      </c>
      <c r="E19" s="22" t="s">
        <v>329</v>
      </c>
      <c r="F19" s="22" t="s">
        <v>330</v>
      </c>
      <c r="G19" s="22" t="s">
        <v>408</v>
      </c>
      <c r="H19" s="23" t="n">
        <v>650000000</v>
      </c>
      <c r="I19" s="22" t="s">
        <v>134</v>
      </c>
      <c r="J19" s="22" t="s">
        <v>247</v>
      </c>
      <c r="K19" s="22" t="s">
        <v>409</v>
      </c>
      <c r="L19" s="22" t="s">
        <v>318</v>
      </c>
    </row>
    <row r="20" customFormat="false" ht="14.25" hidden="false" customHeight="false" outlineLevel="0" collapsed="false">
      <c r="A20" s="22" t="n">
        <v>19</v>
      </c>
      <c r="B20" s="22" t="s">
        <v>410</v>
      </c>
      <c r="C20" s="22" t="s">
        <v>411</v>
      </c>
      <c r="D20" s="22" t="s">
        <v>412</v>
      </c>
      <c r="E20" s="22" t="s">
        <v>336</v>
      </c>
      <c r="F20" s="22" t="s">
        <v>315</v>
      </c>
      <c r="G20" s="22" t="s">
        <v>413</v>
      </c>
      <c r="H20" s="23" t="n">
        <v>600000000</v>
      </c>
      <c r="I20" s="22" t="s">
        <v>133</v>
      </c>
      <c r="J20" s="22" t="s">
        <v>247</v>
      </c>
      <c r="K20" s="22" t="s">
        <v>414</v>
      </c>
      <c r="L20" s="22" t="s">
        <v>318</v>
      </c>
    </row>
    <row r="21" customFormat="false" ht="14.25" hidden="false" customHeight="false" outlineLevel="0" collapsed="false">
      <c r="A21" s="22" t="n">
        <v>20</v>
      </c>
      <c r="B21" s="22" t="s">
        <v>415</v>
      </c>
      <c r="C21" s="22" t="s">
        <v>416</v>
      </c>
      <c r="D21" s="22" t="s">
        <v>417</v>
      </c>
      <c r="E21" s="22" t="s">
        <v>342</v>
      </c>
      <c r="F21" s="22" t="s">
        <v>323</v>
      </c>
      <c r="G21" s="22" t="s">
        <v>418</v>
      </c>
      <c r="H21" s="23" t="n">
        <v>540000000</v>
      </c>
      <c r="I21" s="22" t="s">
        <v>134</v>
      </c>
      <c r="J21" s="22" t="s">
        <v>247</v>
      </c>
      <c r="K21" s="22" t="s">
        <v>419</v>
      </c>
      <c r="L21" s="22" t="s">
        <v>318</v>
      </c>
    </row>
    <row r="22" customFormat="false" ht="14.25" hidden="false" customHeight="false" outlineLevel="0" collapsed="false">
      <c r="A22" s="22" t="n">
        <v>21</v>
      </c>
      <c r="B22" s="22" t="s">
        <v>420</v>
      </c>
      <c r="C22" s="22" t="s">
        <v>421</v>
      </c>
      <c r="D22" s="22" t="s">
        <v>422</v>
      </c>
      <c r="E22" s="22" t="s">
        <v>250</v>
      </c>
      <c r="F22" s="22" t="s">
        <v>330</v>
      </c>
      <c r="G22" s="22" t="s">
        <v>423</v>
      </c>
      <c r="H22" s="23" t="n">
        <v>720000000</v>
      </c>
      <c r="I22" s="22" t="s">
        <v>133</v>
      </c>
      <c r="J22" s="22" t="s">
        <v>247</v>
      </c>
      <c r="K22" s="22" t="s">
        <v>424</v>
      </c>
      <c r="L22" s="22" t="s">
        <v>318</v>
      </c>
    </row>
    <row r="23" customFormat="false" ht="14.25" hidden="false" customHeight="false" outlineLevel="0" collapsed="false">
      <c r="A23" s="22" t="n">
        <v>22</v>
      </c>
      <c r="B23" s="22" t="s">
        <v>425</v>
      </c>
      <c r="C23" s="22" t="s">
        <v>426</v>
      </c>
      <c r="D23" s="22" t="s">
        <v>427</v>
      </c>
      <c r="E23" s="22" t="s">
        <v>322</v>
      </c>
      <c r="F23" s="22" t="s">
        <v>315</v>
      </c>
      <c r="G23" s="22" t="s">
        <v>428</v>
      </c>
      <c r="H23" s="23" t="n">
        <v>550000000</v>
      </c>
      <c r="I23" s="22" t="s">
        <v>134</v>
      </c>
      <c r="J23" s="22" t="s">
        <v>247</v>
      </c>
      <c r="K23" s="22" t="s">
        <v>429</v>
      </c>
      <c r="L23" s="22" t="s">
        <v>318</v>
      </c>
    </row>
    <row r="24" customFormat="false" ht="14.25" hidden="false" customHeight="false" outlineLevel="0" collapsed="false">
      <c r="A24" s="22" t="n">
        <v>23</v>
      </c>
      <c r="B24" s="22" t="s">
        <v>430</v>
      </c>
      <c r="C24" s="22" t="s">
        <v>431</v>
      </c>
      <c r="D24" s="22" t="s">
        <v>432</v>
      </c>
      <c r="E24" s="22" t="s">
        <v>329</v>
      </c>
      <c r="F24" s="22" t="s">
        <v>323</v>
      </c>
      <c r="G24" s="22" t="s">
        <v>433</v>
      </c>
      <c r="H24" s="23" t="n">
        <v>680000000</v>
      </c>
      <c r="I24" s="22" t="s">
        <v>133</v>
      </c>
      <c r="J24" s="22" t="s">
        <v>247</v>
      </c>
      <c r="K24" s="22" t="s">
        <v>434</v>
      </c>
      <c r="L24" s="22" t="s">
        <v>318</v>
      </c>
    </row>
    <row r="25" customFormat="false" ht="14.25" hidden="false" customHeight="false" outlineLevel="0" collapsed="false">
      <c r="A25" s="22" t="n">
        <v>24</v>
      </c>
      <c r="B25" s="22" t="s">
        <v>435</v>
      </c>
      <c r="C25" s="22" t="s">
        <v>436</v>
      </c>
      <c r="D25" s="22" t="s">
        <v>437</v>
      </c>
      <c r="E25" s="22" t="s">
        <v>336</v>
      </c>
      <c r="F25" s="22" t="s">
        <v>330</v>
      </c>
      <c r="G25" s="22" t="s">
        <v>438</v>
      </c>
      <c r="H25" s="23" t="n">
        <v>560000000</v>
      </c>
      <c r="I25" s="22" t="s">
        <v>134</v>
      </c>
      <c r="J25" s="22" t="s">
        <v>247</v>
      </c>
      <c r="K25" s="22" t="s">
        <v>439</v>
      </c>
      <c r="L25" s="22" t="s">
        <v>318</v>
      </c>
    </row>
    <row r="26" customFormat="false" ht="14.25" hidden="false" customHeight="false" outlineLevel="0" collapsed="false">
      <c r="A26" s="22" t="n">
        <v>25</v>
      </c>
      <c r="B26" s="22" t="s">
        <v>440</v>
      </c>
      <c r="C26" s="22" t="s">
        <v>441</v>
      </c>
      <c r="D26" s="22" t="s">
        <v>442</v>
      </c>
      <c r="E26" s="22" t="s">
        <v>342</v>
      </c>
      <c r="F26" s="22" t="s">
        <v>315</v>
      </c>
      <c r="G26" s="22" t="s">
        <v>443</v>
      </c>
      <c r="H26" s="23" t="n">
        <v>900000000</v>
      </c>
      <c r="I26" s="22" t="s">
        <v>133</v>
      </c>
      <c r="J26" s="22" t="s">
        <v>247</v>
      </c>
      <c r="K26" s="22" t="s">
        <v>444</v>
      </c>
      <c r="L26" s="22" t="s">
        <v>318</v>
      </c>
    </row>
    <row r="27" customFormat="false" ht="14.25" hidden="false" customHeight="false" outlineLevel="0" collapsed="false">
      <c r="A27" s="22" t="n">
        <v>26</v>
      </c>
      <c r="B27" s="22" t="s">
        <v>445</v>
      </c>
      <c r="C27" s="22" t="s">
        <v>446</v>
      </c>
      <c r="D27" s="22" t="s">
        <v>447</v>
      </c>
      <c r="E27" s="22" t="s">
        <v>250</v>
      </c>
      <c r="F27" s="22" t="s">
        <v>323</v>
      </c>
      <c r="G27" s="22" t="s">
        <v>448</v>
      </c>
      <c r="H27" s="23" t="n">
        <v>700000000</v>
      </c>
      <c r="I27" s="22" t="s">
        <v>134</v>
      </c>
      <c r="J27" s="22" t="s">
        <v>247</v>
      </c>
      <c r="K27" s="22" t="s">
        <v>449</v>
      </c>
      <c r="L27" s="22" t="s">
        <v>318</v>
      </c>
    </row>
    <row r="28" customFormat="false" ht="14.25" hidden="false" customHeight="false" outlineLevel="0" collapsed="false">
      <c r="A28" s="22" t="n">
        <v>27</v>
      </c>
      <c r="B28" s="22" t="s">
        <v>450</v>
      </c>
      <c r="C28" s="22" t="s">
        <v>451</v>
      </c>
      <c r="D28" s="22" t="s">
        <v>452</v>
      </c>
      <c r="E28" s="22" t="s">
        <v>322</v>
      </c>
      <c r="F28" s="22" t="s">
        <v>330</v>
      </c>
      <c r="G28" s="22" t="s">
        <v>453</v>
      </c>
      <c r="H28" s="23" t="n">
        <v>550000000</v>
      </c>
      <c r="I28" s="22" t="s">
        <v>133</v>
      </c>
      <c r="J28" s="22" t="s">
        <v>247</v>
      </c>
      <c r="K28" s="22" t="s">
        <v>454</v>
      </c>
      <c r="L28" s="22" t="s">
        <v>318</v>
      </c>
    </row>
    <row r="29" customFormat="false" ht="14.25" hidden="false" customHeight="false" outlineLevel="0" collapsed="false">
      <c r="A29" s="22" t="n">
        <v>28</v>
      </c>
      <c r="B29" s="22" t="s">
        <v>455</v>
      </c>
      <c r="C29" s="22" t="s">
        <v>456</v>
      </c>
      <c r="D29" s="22" t="s">
        <v>457</v>
      </c>
      <c r="E29" s="22" t="s">
        <v>329</v>
      </c>
      <c r="F29" s="22" t="s">
        <v>315</v>
      </c>
      <c r="G29" s="22" t="s">
        <v>458</v>
      </c>
      <c r="H29" s="23" t="n">
        <v>580000000</v>
      </c>
      <c r="I29" s="22" t="s">
        <v>134</v>
      </c>
      <c r="J29" s="22" t="s">
        <v>247</v>
      </c>
      <c r="K29" s="22" t="s">
        <v>459</v>
      </c>
      <c r="L29" s="22" t="s">
        <v>318</v>
      </c>
    </row>
    <row r="30" customFormat="false" ht="14.25" hidden="false" customHeight="false" outlineLevel="0" collapsed="false">
      <c r="A30" s="22" t="n">
        <v>29</v>
      </c>
      <c r="B30" s="22" t="s">
        <v>460</v>
      </c>
      <c r="C30" s="22" t="s">
        <v>461</v>
      </c>
      <c r="D30" s="22" t="s">
        <v>462</v>
      </c>
      <c r="E30" s="22" t="s">
        <v>336</v>
      </c>
      <c r="F30" s="22" t="s">
        <v>323</v>
      </c>
      <c r="G30" s="22" t="s">
        <v>463</v>
      </c>
      <c r="H30" s="23" t="n">
        <v>770000000</v>
      </c>
      <c r="I30" s="22" t="s">
        <v>133</v>
      </c>
      <c r="J30" s="22" t="s">
        <v>247</v>
      </c>
      <c r="K30" s="22" t="s">
        <v>464</v>
      </c>
      <c r="L30" s="22" t="s">
        <v>318</v>
      </c>
    </row>
    <row r="31" customFormat="false" ht="14.25" hidden="false" customHeight="false" outlineLevel="0" collapsed="false">
      <c r="A31" s="22" t="n">
        <v>30</v>
      </c>
      <c r="B31" s="22" t="s">
        <v>465</v>
      </c>
      <c r="C31" s="22" t="s">
        <v>466</v>
      </c>
      <c r="D31" s="22" t="s">
        <v>467</v>
      </c>
      <c r="E31" s="22" t="s">
        <v>342</v>
      </c>
      <c r="F31" s="22" t="s">
        <v>330</v>
      </c>
      <c r="G31" s="22" t="s">
        <v>468</v>
      </c>
      <c r="H31" s="23" t="n">
        <v>620000000</v>
      </c>
      <c r="I31" s="22" t="s">
        <v>134</v>
      </c>
      <c r="J31" s="22" t="s">
        <v>247</v>
      </c>
      <c r="K31" s="22" t="s">
        <v>469</v>
      </c>
      <c r="L31" s="22" t="s">
        <v>318</v>
      </c>
    </row>
    <row r="32" customFormat="false" ht="14.25" hidden="false" customHeight="false" outlineLevel="0" collapsed="false">
      <c r="A32" s="22" t="n">
        <v>31</v>
      </c>
      <c r="B32" s="22" t="s">
        <v>470</v>
      </c>
      <c r="C32" s="22" t="s">
        <v>471</v>
      </c>
      <c r="D32" s="22" t="s">
        <v>472</v>
      </c>
      <c r="E32" s="22" t="s">
        <v>250</v>
      </c>
      <c r="F32" s="22" t="s">
        <v>315</v>
      </c>
      <c r="G32" s="22" t="s">
        <v>473</v>
      </c>
      <c r="H32" s="23" t="n">
        <v>600000000</v>
      </c>
      <c r="I32" s="22" t="s">
        <v>133</v>
      </c>
      <c r="J32" s="22" t="s">
        <v>247</v>
      </c>
      <c r="K32" s="22" t="s">
        <v>474</v>
      </c>
      <c r="L32" s="22" t="s">
        <v>318</v>
      </c>
    </row>
    <row r="33" customFormat="false" ht="14.25" hidden="false" customHeight="false" outlineLevel="0" collapsed="false">
      <c r="A33" s="22" t="n">
        <v>32</v>
      </c>
      <c r="B33" s="22" t="s">
        <v>475</v>
      </c>
      <c r="C33" s="22" t="s">
        <v>476</v>
      </c>
      <c r="D33" s="22" t="s">
        <v>477</v>
      </c>
      <c r="E33" s="22" t="s">
        <v>322</v>
      </c>
      <c r="F33" s="22" t="s">
        <v>323</v>
      </c>
      <c r="G33" s="22" t="s">
        <v>478</v>
      </c>
      <c r="H33" s="23" t="n">
        <v>840000000</v>
      </c>
      <c r="I33" s="22" t="s">
        <v>134</v>
      </c>
      <c r="J33" s="22" t="s">
        <v>247</v>
      </c>
      <c r="K33" s="22" t="s">
        <v>479</v>
      </c>
      <c r="L33" s="22" t="s">
        <v>318</v>
      </c>
    </row>
    <row r="34" customFormat="false" ht="14.25" hidden="false" customHeight="false" outlineLevel="0" collapsed="false">
      <c r="A34" s="22" t="n">
        <v>33</v>
      </c>
      <c r="B34" s="22" t="s">
        <v>480</v>
      </c>
      <c r="C34" s="22" t="s">
        <v>481</v>
      </c>
      <c r="D34" s="22" t="s">
        <v>482</v>
      </c>
      <c r="E34" s="22" t="s">
        <v>329</v>
      </c>
      <c r="F34" s="22" t="s">
        <v>330</v>
      </c>
      <c r="G34" s="22" t="s">
        <v>483</v>
      </c>
      <c r="H34" s="23" t="n">
        <v>710000000</v>
      </c>
      <c r="I34" s="22" t="s">
        <v>133</v>
      </c>
      <c r="J34" s="22" t="s">
        <v>247</v>
      </c>
      <c r="K34" s="22" t="s">
        <v>484</v>
      </c>
      <c r="L34" s="22" t="s">
        <v>318</v>
      </c>
    </row>
    <row r="35" customFormat="false" ht="14.25" hidden="false" customHeight="false" outlineLevel="0" collapsed="false">
      <c r="A35" s="22" t="n">
        <v>34</v>
      </c>
      <c r="B35" s="22" t="s">
        <v>485</v>
      </c>
      <c r="C35" s="22" t="s">
        <v>486</v>
      </c>
      <c r="D35" s="22" t="s">
        <v>487</v>
      </c>
      <c r="E35" s="22" t="s">
        <v>336</v>
      </c>
      <c r="F35" s="22" t="s">
        <v>315</v>
      </c>
      <c r="G35" s="22" t="s">
        <v>488</v>
      </c>
      <c r="H35" s="23" t="n">
        <v>620000000</v>
      </c>
      <c r="I35" s="22" t="s">
        <v>134</v>
      </c>
      <c r="J35" s="22" t="s">
        <v>247</v>
      </c>
      <c r="K35" s="22" t="s">
        <v>489</v>
      </c>
      <c r="L35" s="22" t="s">
        <v>318</v>
      </c>
    </row>
    <row r="36" customFormat="false" ht="14.25" hidden="false" customHeight="false" outlineLevel="0" collapsed="false">
      <c r="A36" s="22" t="n">
        <v>35</v>
      </c>
      <c r="B36" s="22" t="s">
        <v>490</v>
      </c>
      <c r="C36" s="22" t="s">
        <v>491</v>
      </c>
      <c r="D36" s="22" t="s">
        <v>492</v>
      </c>
      <c r="E36" s="22" t="s">
        <v>342</v>
      </c>
      <c r="F36" s="22" t="s">
        <v>323</v>
      </c>
      <c r="G36" s="22" t="s">
        <v>493</v>
      </c>
      <c r="H36" s="23" t="n">
        <v>690000000</v>
      </c>
      <c r="I36" s="22" t="s">
        <v>133</v>
      </c>
      <c r="J36" s="22" t="s">
        <v>247</v>
      </c>
      <c r="K36" s="22" t="s">
        <v>494</v>
      </c>
      <c r="L36" s="22" t="s">
        <v>318</v>
      </c>
    </row>
    <row r="37" customFormat="false" ht="14.25" hidden="false" customHeight="false" outlineLevel="0" collapsed="false">
      <c r="A37" s="22" t="n">
        <v>36</v>
      </c>
      <c r="B37" s="22" t="s">
        <v>495</v>
      </c>
      <c r="C37" s="22" t="s">
        <v>496</v>
      </c>
      <c r="D37" s="22" t="s">
        <v>497</v>
      </c>
      <c r="E37" s="22" t="s">
        <v>250</v>
      </c>
      <c r="F37" s="22" t="s">
        <v>330</v>
      </c>
      <c r="G37" s="22" t="s">
        <v>498</v>
      </c>
      <c r="H37" s="23" t="n">
        <v>760000000</v>
      </c>
      <c r="I37" s="22" t="s">
        <v>134</v>
      </c>
      <c r="J37" s="22" t="s">
        <v>247</v>
      </c>
      <c r="K37" s="22" t="s">
        <v>499</v>
      </c>
      <c r="L37" s="22" t="s">
        <v>318</v>
      </c>
    </row>
    <row r="38" customFormat="false" ht="14.25" hidden="false" customHeight="false" outlineLevel="0" collapsed="false">
      <c r="A38" s="22" t="n">
        <v>37</v>
      </c>
      <c r="B38" s="22" t="s">
        <v>500</v>
      </c>
      <c r="C38" s="22" t="s">
        <v>501</v>
      </c>
      <c r="D38" s="22" t="s">
        <v>502</v>
      </c>
      <c r="E38" s="22" t="s">
        <v>322</v>
      </c>
      <c r="F38" s="22" t="s">
        <v>315</v>
      </c>
      <c r="G38" s="22" t="s">
        <v>503</v>
      </c>
      <c r="H38" s="23" t="n">
        <v>660000000</v>
      </c>
      <c r="I38" s="22" t="s">
        <v>133</v>
      </c>
      <c r="J38" s="22" t="s">
        <v>247</v>
      </c>
      <c r="K38" s="22" t="s">
        <v>504</v>
      </c>
      <c r="L38" s="22" t="s">
        <v>318</v>
      </c>
    </row>
    <row r="39" customFormat="false" ht="14.25" hidden="false" customHeight="false" outlineLevel="0" collapsed="false">
      <c r="A39" s="22" t="n">
        <v>38</v>
      </c>
      <c r="B39" s="22" t="s">
        <v>505</v>
      </c>
      <c r="C39" s="22" t="s">
        <v>506</v>
      </c>
      <c r="D39" s="22" t="s">
        <v>507</v>
      </c>
      <c r="E39" s="22" t="s">
        <v>329</v>
      </c>
      <c r="F39" s="22" t="s">
        <v>323</v>
      </c>
      <c r="G39" s="22" t="s">
        <v>508</v>
      </c>
      <c r="H39" s="23" t="n">
        <v>730000000</v>
      </c>
      <c r="I39" s="22" t="s">
        <v>134</v>
      </c>
      <c r="J39" s="22" t="s">
        <v>247</v>
      </c>
      <c r="K39" s="22" t="s">
        <v>509</v>
      </c>
      <c r="L39" s="22" t="s">
        <v>318</v>
      </c>
    </row>
    <row r="40" customFormat="false" ht="14.25" hidden="false" customHeight="false" outlineLevel="0" collapsed="false">
      <c r="A40" s="22" t="n">
        <v>39</v>
      </c>
      <c r="B40" s="22" t="s">
        <v>510</v>
      </c>
      <c r="C40" s="22" t="s">
        <v>511</v>
      </c>
      <c r="D40" s="22" t="s">
        <v>512</v>
      </c>
      <c r="E40" s="22" t="s">
        <v>336</v>
      </c>
      <c r="F40" s="22" t="s">
        <v>330</v>
      </c>
      <c r="G40" s="22" t="s">
        <v>513</v>
      </c>
      <c r="H40" s="23" t="n">
        <v>810000000</v>
      </c>
      <c r="I40" s="22" t="s">
        <v>133</v>
      </c>
      <c r="J40" s="22" t="s">
        <v>247</v>
      </c>
      <c r="K40" s="22" t="s">
        <v>514</v>
      </c>
      <c r="L40" s="22" t="s">
        <v>318</v>
      </c>
    </row>
    <row r="41" customFormat="false" ht="14.25" hidden="false" customHeight="false" outlineLevel="0" collapsed="false">
      <c r="A41" s="22" t="n">
        <v>40</v>
      </c>
      <c r="B41" s="22" t="s">
        <v>515</v>
      </c>
      <c r="C41" s="22" t="s">
        <v>516</v>
      </c>
      <c r="D41" s="22" t="s">
        <v>517</v>
      </c>
      <c r="E41" s="22" t="s">
        <v>342</v>
      </c>
      <c r="F41" s="22" t="s">
        <v>315</v>
      </c>
      <c r="G41" s="22" t="s">
        <v>518</v>
      </c>
      <c r="H41" s="23" t="n">
        <v>720000000</v>
      </c>
      <c r="I41" s="22" t="s">
        <v>134</v>
      </c>
      <c r="J41" s="22" t="s">
        <v>247</v>
      </c>
      <c r="K41" s="22" t="s">
        <v>519</v>
      </c>
      <c r="L41" s="22" t="s">
        <v>318</v>
      </c>
    </row>
    <row r="42" customFormat="false" ht="14.25" hidden="false" customHeight="false" outlineLevel="0" collapsed="false">
      <c r="A42" s="24"/>
      <c r="B42" s="24"/>
      <c r="C42" s="24"/>
      <c r="D42" s="24"/>
      <c r="E42" s="24"/>
      <c r="F42" s="25" t="s">
        <v>75</v>
      </c>
      <c r="G42" s="24"/>
      <c r="H42" s="26" t="n">
        <f aca="false">SUM(H2:H41)</f>
        <v>26930000000</v>
      </c>
      <c r="I42" s="24"/>
      <c r="J42" s="24"/>
      <c r="K42" s="24"/>
      <c r="L42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21" t="s">
        <v>304</v>
      </c>
      <c r="B1" s="21" t="s">
        <v>520</v>
      </c>
      <c r="C1" s="21" t="s">
        <v>521</v>
      </c>
      <c r="D1" s="21" t="s">
        <v>91</v>
      </c>
      <c r="E1" s="21" t="s">
        <v>522</v>
      </c>
      <c r="F1" s="21" t="s">
        <v>523</v>
      </c>
      <c r="G1" s="21" t="s">
        <v>93</v>
      </c>
      <c r="H1" s="21" t="s">
        <v>94</v>
      </c>
    </row>
    <row r="2" customFormat="false" ht="14.25" hidden="false" customHeight="false" outlineLevel="0" collapsed="false">
      <c r="A2" s="22" t="n">
        <v>1</v>
      </c>
      <c r="B2" s="22" t="s">
        <v>524</v>
      </c>
      <c r="C2" s="22" t="s">
        <v>525</v>
      </c>
      <c r="D2" s="22" t="s">
        <v>133</v>
      </c>
      <c r="E2" s="22" t="s">
        <v>526</v>
      </c>
      <c r="F2" s="22" t="s">
        <v>119</v>
      </c>
      <c r="G2" s="22" t="s">
        <v>278</v>
      </c>
      <c r="H2" s="22" t="s">
        <v>279</v>
      </c>
    </row>
    <row r="3" customFormat="false" ht="14.25" hidden="false" customHeight="false" outlineLevel="0" collapsed="false">
      <c r="A3" s="22" t="n">
        <v>2</v>
      </c>
      <c r="B3" s="22" t="s">
        <v>527</v>
      </c>
      <c r="C3" s="22" t="s">
        <v>528</v>
      </c>
      <c r="D3" s="22" t="s">
        <v>134</v>
      </c>
      <c r="E3" s="22" t="s">
        <v>529</v>
      </c>
      <c r="F3" s="22" t="s">
        <v>118</v>
      </c>
      <c r="G3" s="22" t="s">
        <v>287</v>
      </c>
      <c r="H3" s="22" t="s">
        <v>288</v>
      </c>
    </row>
    <row r="4" customFormat="false" ht="14.25" hidden="false" customHeight="false" outlineLevel="0" collapsed="false">
      <c r="A4" s="22" t="n">
        <v>3</v>
      </c>
      <c r="B4" s="22" t="s">
        <v>530</v>
      </c>
      <c r="C4" s="22" t="s">
        <v>531</v>
      </c>
      <c r="D4" s="22" t="s">
        <v>133</v>
      </c>
      <c r="E4" s="22" t="s">
        <v>526</v>
      </c>
      <c r="F4" s="22" t="s">
        <v>118</v>
      </c>
      <c r="G4" s="22" t="s">
        <v>287</v>
      </c>
      <c r="H4" s="22" t="s">
        <v>288</v>
      </c>
    </row>
    <row r="5" customFormat="false" ht="14.25" hidden="false" customHeight="false" outlineLevel="0" collapsed="false">
      <c r="A5" s="22" t="n">
        <v>4</v>
      </c>
      <c r="B5" s="22" t="s">
        <v>532</v>
      </c>
      <c r="C5" s="22" t="s">
        <v>533</v>
      </c>
      <c r="D5" s="22" t="s">
        <v>134</v>
      </c>
      <c r="E5" s="22" t="s">
        <v>529</v>
      </c>
      <c r="F5" s="22" t="s">
        <v>126</v>
      </c>
      <c r="G5" s="22" t="s">
        <v>534</v>
      </c>
      <c r="H5" s="22" t="s">
        <v>297</v>
      </c>
    </row>
    <row r="6" customFormat="false" ht="14.25" hidden="false" customHeight="false" outlineLevel="0" collapsed="false">
      <c r="A6" s="22" t="n">
        <v>5</v>
      </c>
      <c r="B6" s="22" t="s">
        <v>535</v>
      </c>
      <c r="C6" s="22" t="s">
        <v>536</v>
      </c>
      <c r="D6" s="22" t="s">
        <v>133</v>
      </c>
      <c r="E6" s="22" t="s">
        <v>526</v>
      </c>
      <c r="F6" s="22" t="s">
        <v>125</v>
      </c>
      <c r="G6" s="22" t="s">
        <v>537</v>
      </c>
      <c r="H6" s="22" t="s">
        <v>294</v>
      </c>
    </row>
    <row r="7" customFormat="false" ht="14.25" hidden="false" customHeight="false" outlineLevel="0" collapsed="false">
      <c r="A7" s="22" t="n">
        <v>6</v>
      </c>
      <c r="B7" s="22" t="s">
        <v>538</v>
      </c>
      <c r="C7" s="22" t="s">
        <v>536</v>
      </c>
      <c r="D7" s="22" t="s">
        <v>134</v>
      </c>
      <c r="E7" s="22" t="s">
        <v>529</v>
      </c>
      <c r="F7" s="22" t="s">
        <v>118</v>
      </c>
      <c r="G7" s="22" t="s">
        <v>287</v>
      </c>
      <c r="H7" s="22" t="s">
        <v>288</v>
      </c>
    </row>
    <row r="8" customFormat="false" ht="14.25" hidden="false" customHeight="false" outlineLevel="0" collapsed="false">
      <c r="A8" s="22" t="n">
        <v>7</v>
      </c>
      <c r="B8" s="22" t="s">
        <v>539</v>
      </c>
      <c r="C8" s="22" t="s">
        <v>540</v>
      </c>
      <c r="D8" s="22" t="s">
        <v>133</v>
      </c>
      <c r="E8" s="22" t="s">
        <v>526</v>
      </c>
      <c r="F8" s="22" t="s">
        <v>118</v>
      </c>
      <c r="G8" s="22" t="s">
        <v>287</v>
      </c>
      <c r="H8" s="22" t="s">
        <v>288</v>
      </c>
    </row>
    <row r="9" customFormat="false" ht="14.25" hidden="false" customHeight="false" outlineLevel="0" collapsed="false">
      <c r="A9" s="22" t="n">
        <v>8</v>
      </c>
      <c r="B9" s="22" t="s">
        <v>541</v>
      </c>
      <c r="C9" s="22" t="s">
        <v>542</v>
      </c>
      <c r="D9" s="22" t="s">
        <v>134</v>
      </c>
      <c r="E9" s="22" t="s">
        <v>529</v>
      </c>
      <c r="F9" s="22" t="s">
        <v>119</v>
      </c>
      <c r="G9" s="22" t="s">
        <v>543</v>
      </c>
      <c r="H9" s="22" t="s">
        <v>294</v>
      </c>
    </row>
    <row r="10" customFormat="false" ht="14.25" hidden="false" customHeight="false" outlineLevel="0" collapsed="false">
      <c r="A10" s="22" t="n">
        <v>9</v>
      </c>
      <c r="B10" s="22" t="s">
        <v>544</v>
      </c>
      <c r="C10" s="22" t="s">
        <v>358</v>
      </c>
      <c r="D10" s="22" t="s">
        <v>133</v>
      </c>
      <c r="E10" s="22" t="s">
        <v>526</v>
      </c>
      <c r="F10" s="22" t="s">
        <v>118</v>
      </c>
      <c r="G10" s="22" t="s">
        <v>287</v>
      </c>
      <c r="H10" s="22" t="s">
        <v>288</v>
      </c>
    </row>
    <row r="11" customFormat="false" ht="14.25" hidden="false" customHeight="false" outlineLevel="0" collapsed="false">
      <c r="A11" s="22" t="n">
        <v>10</v>
      </c>
      <c r="B11" s="22" t="s">
        <v>545</v>
      </c>
      <c r="C11" s="22" t="s">
        <v>546</v>
      </c>
      <c r="D11" s="22" t="s">
        <v>134</v>
      </c>
      <c r="E11" s="22" t="s">
        <v>529</v>
      </c>
      <c r="F11" s="22" t="s">
        <v>125</v>
      </c>
      <c r="G11" s="22" t="s">
        <v>547</v>
      </c>
      <c r="H11" s="22" t="s">
        <v>279</v>
      </c>
    </row>
    <row r="12" customFormat="false" ht="14.25" hidden="false" customHeight="false" outlineLevel="0" collapsed="false">
      <c r="A12" s="22" t="n">
        <v>11</v>
      </c>
      <c r="B12" s="22" t="s">
        <v>548</v>
      </c>
      <c r="C12" s="22" t="s">
        <v>549</v>
      </c>
      <c r="D12" s="22" t="s">
        <v>133</v>
      </c>
      <c r="E12" s="22" t="s">
        <v>526</v>
      </c>
      <c r="F12" s="22" t="s">
        <v>124</v>
      </c>
      <c r="G12" s="22" t="s">
        <v>550</v>
      </c>
      <c r="H12" s="22" t="s">
        <v>294</v>
      </c>
    </row>
    <row r="13" customFormat="false" ht="14.25" hidden="false" customHeight="false" outlineLevel="0" collapsed="false">
      <c r="A13" s="22" t="n">
        <v>12</v>
      </c>
      <c r="B13" s="22" t="s">
        <v>551</v>
      </c>
      <c r="C13" s="22" t="s">
        <v>552</v>
      </c>
      <c r="D13" s="22" t="s">
        <v>134</v>
      </c>
      <c r="E13" s="22" t="s">
        <v>529</v>
      </c>
      <c r="F13" s="22" t="s">
        <v>118</v>
      </c>
      <c r="G13" s="22" t="s">
        <v>287</v>
      </c>
      <c r="H13" s="22" t="s">
        <v>288</v>
      </c>
    </row>
    <row r="14" customFormat="false" ht="14.25" hidden="false" customHeight="false" outlineLevel="0" collapsed="false">
      <c r="A14" s="22" t="n">
        <v>13</v>
      </c>
      <c r="B14" s="22" t="s">
        <v>553</v>
      </c>
      <c r="C14" s="22" t="s">
        <v>554</v>
      </c>
      <c r="D14" s="22" t="s">
        <v>133</v>
      </c>
      <c r="E14" s="22" t="s">
        <v>526</v>
      </c>
      <c r="F14" s="22" t="s">
        <v>127</v>
      </c>
      <c r="G14" s="22" t="s">
        <v>296</v>
      </c>
      <c r="H14" s="22" t="s">
        <v>297</v>
      </c>
    </row>
    <row r="15" customFormat="false" ht="14.25" hidden="false" customHeight="false" outlineLevel="0" collapsed="false">
      <c r="A15" s="22" t="n">
        <v>14</v>
      </c>
      <c r="B15" s="22" t="s">
        <v>555</v>
      </c>
      <c r="C15" s="22" t="s">
        <v>556</v>
      </c>
      <c r="D15" s="22" t="s">
        <v>134</v>
      </c>
      <c r="E15" s="22" t="s">
        <v>529</v>
      </c>
      <c r="F15" s="22" t="s">
        <v>121</v>
      </c>
      <c r="G15" s="22" t="s">
        <v>557</v>
      </c>
      <c r="H15" s="22" t="s">
        <v>294</v>
      </c>
    </row>
    <row r="16" customFormat="false" ht="14.25" hidden="false" customHeight="false" outlineLevel="0" collapsed="false">
      <c r="A16" s="22" t="n">
        <v>15</v>
      </c>
      <c r="B16" s="22" t="s">
        <v>558</v>
      </c>
      <c r="C16" s="22" t="s">
        <v>559</v>
      </c>
      <c r="D16" s="22" t="s">
        <v>133</v>
      </c>
      <c r="E16" s="22" t="s">
        <v>526</v>
      </c>
      <c r="F16" s="22" t="s">
        <v>126</v>
      </c>
      <c r="G16" s="22" t="s">
        <v>560</v>
      </c>
      <c r="H16" s="22" t="s">
        <v>294</v>
      </c>
    </row>
    <row r="17" customFormat="false" ht="14.25" hidden="false" customHeight="false" outlineLevel="0" collapsed="false">
      <c r="A17" s="22" t="n">
        <v>16</v>
      </c>
      <c r="B17" s="22" t="s">
        <v>561</v>
      </c>
      <c r="C17" s="22" t="s">
        <v>562</v>
      </c>
      <c r="D17" s="22" t="s">
        <v>134</v>
      </c>
      <c r="E17" s="22" t="s">
        <v>529</v>
      </c>
      <c r="F17" s="22" t="s">
        <v>118</v>
      </c>
      <c r="G17" s="22" t="s">
        <v>287</v>
      </c>
      <c r="H17" s="22" t="s">
        <v>288</v>
      </c>
    </row>
    <row r="18" customFormat="false" ht="14.25" hidden="false" customHeight="false" outlineLevel="0" collapsed="false">
      <c r="A18" s="22" t="n">
        <v>17</v>
      </c>
      <c r="B18" s="22" t="s">
        <v>563</v>
      </c>
      <c r="C18" s="22" t="s">
        <v>564</v>
      </c>
      <c r="D18" s="22" t="s">
        <v>133</v>
      </c>
      <c r="E18" s="22" t="s">
        <v>526</v>
      </c>
      <c r="F18" s="22" t="s">
        <v>127</v>
      </c>
      <c r="G18" s="22" t="s">
        <v>565</v>
      </c>
      <c r="H18" s="22" t="s">
        <v>294</v>
      </c>
    </row>
    <row r="19" customFormat="false" ht="14.25" hidden="false" customHeight="false" outlineLevel="0" collapsed="false">
      <c r="A19" s="22" t="n">
        <v>18</v>
      </c>
      <c r="B19" s="22" t="s">
        <v>566</v>
      </c>
      <c r="C19" s="22" t="s">
        <v>378</v>
      </c>
      <c r="D19" s="22" t="s">
        <v>134</v>
      </c>
      <c r="E19" s="22" t="s">
        <v>529</v>
      </c>
      <c r="F19" s="22" t="s">
        <v>118</v>
      </c>
      <c r="G19" s="22" t="s">
        <v>287</v>
      </c>
      <c r="H19" s="22" t="s">
        <v>288</v>
      </c>
    </row>
    <row r="20" customFormat="false" ht="14.25" hidden="false" customHeight="false" outlineLevel="0" collapsed="false">
      <c r="A20" s="22" t="n">
        <v>19</v>
      </c>
      <c r="B20" s="22" t="s">
        <v>567</v>
      </c>
      <c r="C20" s="22" t="s">
        <v>568</v>
      </c>
      <c r="D20" s="22" t="s">
        <v>133</v>
      </c>
      <c r="E20" s="22" t="s">
        <v>526</v>
      </c>
      <c r="F20" s="22" t="s">
        <v>119</v>
      </c>
      <c r="G20" s="22" t="s">
        <v>569</v>
      </c>
      <c r="H20" s="22" t="s">
        <v>279</v>
      </c>
    </row>
    <row r="21" customFormat="false" ht="14.25" hidden="false" customHeight="false" outlineLevel="0" collapsed="false">
      <c r="A21" s="22" t="n">
        <v>20</v>
      </c>
      <c r="B21" s="22" t="s">
        <v>570</v>
      </c>
      <c r="C21" s="22" t="s">
        <v>571</v>
      </c>
      <c r="D21" s="22" t="s">
        <v>134</v>
      </c>
      <c r="E21" s="22" t="s">
        <v>529</v>
      </c>
      <c r="F21" s="22" t="s">
        <v>118</v>
      </c>
      <c r="G21" s="22" t="s">
        <v>287</v>
      </c>
      <c r="H21" s="22" t="s">
        <v>288</v>
      </c>
    </row>
    <row r="22" customFormat="false" ht="14.25" hidden="false" customHeight="false" outlineLevel="0" collapsed="false">
      <c r="A22" s="22" t="n">
        <v>21</v>
      </c>
      <c r="B22" s="22" t="s">
        <v>572</v>
      </c>
      <c r="C22" s="22" t="s">
        <v>573</v>
      </c>
      <c r="D22" s="22" t="s">
        <v>133</v>
      </c>
      <c r="E22" s="22" t="s">
        <v>526</v>
      </c>
      <c r="F22" s="22" t="s">
        <v>120</v>
      </c>
      <c r="G22" s="22" t="s">
        <v>574</v>
      </c>
      <c r="H22" s="22" t="s">
        <v>294</v>
      </c>
    </row>
    <row r="23" customFormat="false" ht="14.25" hidden="false" customHeight="false" outlineLevel="0" collapsed="false">
      <c r="A23" s="22" t="n">
        <v>22</v>
      </c>
      <c r="B23" s="22" t="s">
        <v>575</v>
      </c>
      <c r="C23" s="22" t="s">
        <v>576</v>
      </c>
      <c r="D23" s="22" t="s">
        <v>134</v>
      </c>
      <c r="E23" s="22" t="s">
        <v>529</v>
      </c>
      <c r="F23" s="22" t="s">
        <v>123</v>
      </c>
      <c r="G23" s="22" t="s">
        <v>577</v>
      </c>
      <c r="H23" s="22" t="s">
        <v>279</v>
      </c>
    </row>
    <row r="24" customFormat="false" ht="14.25" hidden="false" customHeight="false" outlineLevel="0" collapsed="false">
      <c r="A24" s="22" t="n">
        <v>23</v>
      </c>
      <c r="B24" s="22" t="s">
        <v>578</v>
      </c>
      <c r="C24" s="22" t="s">
        <v>579</v>
      </c>
      <c r="D24" s="22" t="s">
        <v>133</v>
      </c>
      <c r="E24" s="22" t="s">
        <v>526</v>
      </c>
      <c r="F24" s="22" t="s">
        <v>118</v>
      </c>
      <c r="G24" s="22" t="s">
        <v>287</v>
      </c>
      <c r="H24" s="22" t="s">
        <v>288</v>
      </c>
    </row>
    <row r="25" customFormat="false" ht="14.25" hidden="false" customHeight="false" outlineLevel="0" collapsed="false">
      <c r="A25" s="22" t="n">
        <v>24</v>
      </c>
      <c r="B25" s="22" t="s">
        <v>580</v>
      </c>
      <c r="C25" s="22" t="s">
        <v>581</v>
      </c>
      <c r="D25" s="22" t="s">
        <v>134</v>
      </c>
      <c r="E25" s="22" t="s">
        <v>529</v>
      </c>
      <c r="F25" s="22" t="s">
        <v>118</v>
      </c>
      <c r="G25" s="22" t="s">
        <v>287</v>
      </c>
      <c r="H25" s="22" t="s">
        <v>288</v>
      </c>
    </row>
    <row r="26" customFormat="false" ht="14.25" hidden="false" customHeight="false" outlineLevel="0" collapsed="false">
      <c r="A26" s="22" t="n">
        <v>25</v>
      </c>
      <c r="B26" s="22" t="s">
        <v>582</v>
      </c>
      <c r="C26" s="22" t="s">
        <v>583</v>
      </c>
      <c r="D26" s="22" t="s">
        <v>133</v>
      </c>
      <c r="E26" s="22" t="s">
        <v>526</v>
      </c>
      <c r="F26" s="22" t="s">
        <v>121</v>
      </c>
      <c r="G26" s="22" t="s">
        <v>301</v>
      </c>
      <c r="H26" s="22" t="s">
        <v>294</v>
      </c>
    </row>
    <row r="27" customFormat="false" ht="14.25" hidden="false" customHeight="false" outlineLevel="0" collapsed="false">
      <c r="A27" s="22" t="n">
        <v>26</v>
      </c>
      <c r="B27" s="22" t="s">
        <v>584</v>
      </c>
      <c r="C27" s="22" t="s">
        <v>585</v>
      </c>
      <c r="D27" s="22" t="s">
        <v>134</v>
      </c>
      <c r="E27" s="22" t="s">
        <v>529</v>
      </c>
      <c r="F27" s="22" t="s">
        <v>118</v>
      </c>
      <c r="G27" s="22" t="s">
        <v>287</v>
      </c>
      <c r="H27" s="22" t="s">
        <v>288</v>
      </c>
    </row>
    <row r="28" customFormat="false" ht="14.25" hidden="false" customHeight="false" outlineLevel="0" collapsed="false">
      <c r="A28" s="22" t="n">
        <v>27</v>
      </c>
      <c r="B28" s="22" t="s">
        <v>586</v>
      </c>
      <c r="C28" s="22" t="s">
        <v>587</v>
      </c>
      <c r="D28" s="22" t="s">
        <v>133</v>
      </c>
      <c r="E28" s="22" t="s">
        <v>526</v>
      </c>
      <c r="F28" s="22" t="s">
        <v>118</v>
      </c>
      <c r="G28" s="22" t="s">
        <v>287</v>
      </c>
      <c r="H28" s="22" t="s">
        <v>288</v>
      </c>
    </row>
    <row r="29" customFormat="false" ht="14.25" hidden="false" customHeight="false" outlineLevel="0" collapsed="false">
      <c r="A29" s="22" t="n">
        <v>28</v>
      </c>
      <c r="B29" s="22" t="s">
        <v>588</v>
      </c>
      <c r="C29" s="22" t="s">
        <v>589</v>
      </c>
      <c r="D29" s="22" t="s">
        <v>134</v>
      </c>
      <c r="E29" s="22" t="s">
        <v>529</v>
      </c>
      <c r="F29" s="22" t="s">
        <v>119</v>
      </c>
      <c r="G29" s="22" t="s">
        <v>590</v>
      </c>
      <c r="H29" s="22" t="s">
        <v>294</v>
      </c>
    </row>
    <row r="30" customFormat="false" ht="14.25" hidden="false" customHeight="false" outlineLevel="0" collapsed="false">
      <c r="A30" s="22" t="n">
        <v>29</v>
      </c>
      <c r="B30" s="22" t="s">
        <v>591</v>
      </c>
      <c r="C30" s="22" t="s">
        <v>592</v>
      </c>
      <c r="D30" s="22" t="s">
        <v>133</v>
      </c>
      <c r="E30" s="22" t="s">
        <v>526</v>
      </c>
      <c r="F30" s="22" t="s">
        <v>122</v>
      </c>
      <c r="G30" s="22" t="s">
        <v>285</v>
      </c>
      <c r="H30" s="22" t="s">
        <v>279</v>
      </c>
    </row>
    <row r="31" customFormat="false" ht="14.25" hidden="false" customHeight="false" outlineLevel="0" collapsed="false">
      <c r="A31" s="22" t="n">
        <v>30</v>
      </c>
      <c r="B31" s="22" t="s">
        <v>593</v>
      </c>
      <c r="C31" s="22" t="s">
        <v>594</v>
      </c>
      <c r="D31" s="22" t="s">
        <v>134</v>
      </c>
      <c r="E31" s="22" t="s">
        <v>529</v>
      </c>
      <c r="F31" s="22" t="s">
        <v>118</v>
      </c>
      <c r="G31" s="22" t="s">
        <v>287</v>
      </c>
      <c r="H31" s="22" t="s">
        <v>288</v>
      </c>
    </row>
    <row r="32" customFormat="false" ht="14.25" hidden="false" customHeight="false" outlineLevel="0" collapsed="false">
      <c r="A32" s="22" t="n">
        <v>31</v>
      </c>
      <c r="B32" s="22" t="s">
        <v>595</v>
      </c>
      <c r="C32" s="22" t="s">
        <v>596</v>
      </c>
      <c r="D32" s="22" t="s">
        <v>133</v>
      </c>
      <c r="E32" s="22" t="s">
        <v>526</v>
      </c>
      <c r="F32" s="22" t="s">
        <v>122</v>
      </c>
      <c r="G32" s="22" t="s">
        <v>597</v>
      </c>
      <c r="H32" s="22" t="s">
        <v>294</v>
      </c>
    </row>
    <row r="33" customFormat="false" ht="14.25" hidden="false" customHeight="false" outlineLevel="0" collapsed="false">
      <c r="A33" s="22" t="n">
        <v>32</v>
      </c>
      <c r="B33" s="22" t="s">
        <v>598</v>
      </c>
      <c r="C33" s="22" t="s">
        <v>599</v>
      </c>
      <c r="D33" s="22" t="s">
        <v>134</v>
      </c>
      <c r="E33" s="22" t="s">
        <v>529</v>
      </c>
      <c r="F33" s="22" t="s">
        <v>124</v>
      </c>
      <c r="G33" s="22" t="s">
        <v>600</v>
      </c>
      <c r="H33" s="22" t="s">
        <v>297</v>
      </c>
    </row>
    <row r="34" customFormat="false" ht="14.25" hidden="false" customHeight="false" outlineLevel="0" collapsed="false">
      <c r="A34" s="22" t="n">
        <v>33</v>
      </c>
      <c r="B34" s="22" t="s">
        <v>601</v>
      </c>
      <c r="C34" s="22" t="s">
        <v>602</v>
      </c>
      <c r="D34" s="22" t="s">
        <v>133</v>
      </c>
      <c r="E34" s="22" t="s">
        <v>526</v>
      </c>
      <c r="F34" s="22" t="s">
        <v>120</v>
      </c>
      <c r="G34" s="22" t="s">
        <v>603</v>
      </c>
      <c r="H34" s="22" t="s">
        <v>294</v>
      </c>
    </row>
    <row r="35" customFormat="false" ht="14.25" hidden="false" customHeight="false" outlineLevel="0" collapsed="false">
      <c r="A35" s="22" t="n">
        <v>34</v>
      </c>
      <c r="B35" s="22" t="s">
        <v>604</v>
      </c>
      <c r="C35" s="22" t="s">
        <v>605</v>
      </c>
      <c r="D35" s="22" t="s">
        <v>134</v>
      </c>
      <c r="E35" s="22" t="s">
        <v>529</v>
      </c>
      <c r="F35" s="22" t="s">
        <v>118</v>
      </c>
      <c r="G35" s="22" t="s">
        <v>287</v>
      </c>
      <c r="H35" s="22" t="s">
        <v>288</v>
      </c>
    </row>
    <row r="36" customFormat="false" ht="14.25" hidden="false" customHeight="false" outlineLevel="0" collapsed="false">
      <c r="A36" s="22" t="n">
        <v>35</v>
      </c>
      <c r="B36" s="22" t="s">
        <v>606</v>
      </c>
      <c r="C36" s="22" t="s">
        <v>607</v>
      </c>
      <c r="D36" s="22" t="s">
        <v>133</v>
      </c>
      <c r="E36" s="22" t="s">
        <v>526</v>
      </c>
      <c r="F36" s="22" t="s">
        <v>118</v>
      </c>
      <c r="G36" s="22" t="s">
        <v>287</v>
      </c>
      <c r="H36" s="22" t="s">
        <v>288</v>
      </c>
    </row>
    <row r="37" customFormat="false" ht="14.25" hidden="false" customHeight="false" outlineLevel="0" collapsed="false">
      <c r="A37" s="22" t="n">
        <v>36</v>
      </c>
      <c r="B37" s="22" t="s">
        <v>608</v>
      </c>
      <c r="C37" s="22" t="s">
        <v>609</v>
      </c>
      <c r="D37" s="22" t="s">
        <v>134</v>
      </c>
      <c r="E37" s="22" t="s">
        <v>529</v>
      </c>
      <c r="F37" s="22" t="s">
        <v>120</v>
      </c>
      <c r="G37" s="22" t="s">
        <v>610</v>
      </c>
      <c r="H37" s="22" t="s">
        <v>297</v>
      </c>
    </row>
    <row r="38" customFormat="false" ht="14.25" hidden="false" customHeight="false" outlineLevel="0" collapsed="false">
      <c r="A38" s="22" t="n">
        <v>37</v>
      </c>
      <c r="B38" s="22" t="s">
        <v>611</v>
      </c>
      <c r="C38" s="22" t="s">
        <v>612</v>
      </c>
      <c r="D38" s="22" t="s">
        <v>133</v>
      </c>
      <c r="E38" s="22" t="s">
        <v>526</v>
      </c>
      <c r="F38" s="22" t="s">
        <v>123</v>
      </c>
      <c r="G38" s="22" t="s">
        <v>613</v>
      </c>
      <c r="H38" s="2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32"/>
    <col collapsed="false" customWidth="true" hidden="false" outlineLevel="0" max="7" min="6" style="0" width="14"/>
    <col collapsed="false" customWidth="true" hidden="false" outlineLevel="0" max="8" min="8" style="0" width="15"/>
  </cols>
  <sheetData>
    <row r="1" customFormat="false" ht="25.5" hidden="false" customHeight="true" outlineLevel="0" collapsed="false">
      <c r="A1" s="21" t="s">
        <v>304</v>
      </c>
      <c r="B1" s="21" t="s">
        <v>95</v>
      </c>
      <c r="C1" s="21" t="s">
        <v>614</v>
      </c>
      <c r="D1" s="21" t="s">
        <v>615</v>
      </c>
      <c r="E1" s="21" t="s">
        <v>137</v>
      </c>
      <c r="F1" s="21" t="s">
        <v>616</v>
      </c>
      <c r="G1" s="21" t="s">
        <v>617</v>
      </c>
      <c r="H1" s="21" t="s">
        <v>618</v>
      </c>
    </row>
    <row r="2" customFormat="false" ht="14.25" hidden="false" customHeight="false" outlineLevel="0" collapsed="false">
      <c r="A2" s="22" t="n">
        <v>1</v>
      </c>
      <c r="B2" s="22" t="s">
        <v>619</v>
      </c>
      <c r="C2" s="23" t="n">
        <v>300000000</v>
      </c>
      <c r="D2" s="22" t="s">
        <v>620</v>
      </c>
      <c r="E2" s="22" t="s">
        <v>621</v>
      </c>
      <c r="F2" s="22" t="s">
        <v>622</v>
      </c>
      <c r="G2" s="22" t="s">
        <v>622</v>
      </c>
      <c r="H2" s="22" t="s">
        <v>622</v>
      </c>
    </row>
    <row r="3" customFormat="false" ht="14.25" hidden="false" customHeight="false" outlineLevel="0" collapsed="false">
      <c r="A3" s="22" t="n">
        <v>2</v>
      </c>
      <c r="B3" s="22" t="s">
        <v>623</v>
      </c>
      <c r="C3" s="23" t="n">
        <v>920000000</v>
      </c>
      <c r="D3" s="22" t="s">
        <v>620</v>
      </c>
      <c r="E3" s="22" t="s">
        <v>624</v>
      </c>
      <c r="F3" s="22" t="s">
        <v>622</v>
      </c>
      <c r="G3" s="22" t="s">
        <v>622</v>
      </c>
      <c r="H3" s="22" t="s">
        <v>622</v>
      </c>
    </row>
    <row r="4" customFormat="false" ht="14.25" hidden="false" customHeight="false" outlineLevel="0" collapsed="false">
      <c r="A4" s="22" t="n">
        <v>3</v>
      </c>
      <c r="B4" s="22" t="s">
        <v>625</v>
      </c>
      <c r="C4" s="23" t="n">
        <v>975000000</v>
      </c>
      <c r="D4" s="22" t="s">
        <v>620</v>
      </c>
      <c r="E4" s="22" t="s">
        <v>626</v>
      </c>
      <c r="F4" s="22" t="s">
        <v>622</v>
      </c>
      <c r="G4" s="22" t="s">
        <v>622</v>
      </c>
      <c r="H4" s="22" t="s">
        <v>622</v>
      </c>
    </row>
    <row r="5" customFormat="false" ht="14.25" hidden="false" customHeight="false" outlineLevel="0" collapsed="false">
      <c r="A5" s="22" t="n">
        <v>4</v>
      </c>
      <c r="B5" s="22" t="s">
        <v>627</v>
      </c>
      <c r="C5" s="23" t="n">
        <v>50000000</v>
      </c>
      <c r="D5" s="22" t="s">
        <v>620</v>
      </c>
      <c r="E5" s="22" t="s">
        <v>628</v>
      </c>
      <c r="F5" s="22" t="s">
        <v>629</v>
      </c>
      <c r="G5" s="22" t="s">
        <v>622</v>
      </c>
      <c r="H5" s="22" t="s">
        <v>622</v>
      </c>
    </row>
    <row r="6" customFormat="false" ht="14.25" hidden="false" customHeight="false" outlineLevel="0" collapsed="false">
      <c r="A6" s="22" t="n">
        <v>5</v>
      </c>
      <c r="B6" s="22" t="s">
        <v>630</v>
      </c>
      <c r="C6" s="23" t="n">
        <v>450000000</v>
      </c>
      <c r="D6" s="22" t="s">
        <v>620</v>
      </c>
      <c r="E6" s="22" t="s">
        <v>631</v>
      </c>
      <c r="F6" s="22" t="s">
        <v>622</v>
      </c>
      <c r="G6" s="22" t="s">
        <v>622</v>
      </c>
      <c r="H6" s="22" t="s">
        <v>622</v>
      </c>
    </row>
    <row r="7" customFormat="false" ht="14.25" hidden="false" customHeight="false" outlineLevel="0" collapsed="false">
      <c r="A7" s="22" t="n">
        <v>6</v>
      </c>
      <c r="B7" s="22" t="s">
        <v>632</v>
      </c>
      <c r="C7" s="23" t="n">
        <v>900000000</v>
      </c>
      <c r="D7" s="22" t="s">
        <v>620</v>
      </c>
      <c r="E7" s="22" t="s">
        <v>633</v>
      </c>
      <c r="F7" s="22" t="s">
        <v>622</v>
      </c>
      <c r="G7" s="22" t="s">
        <v>622</v>
      </c>
      <c r="H7" s="22" t="s">
        <v>622</v>
      </c>
    </row>
    <row r="8" customFormat="false" ht="14.25" hidden="false" customHeight="false" outlineLevel="0" collapsed="false">
      <c r="A8" s="22" t="n">
        <v>7</v>
      </c>
      <c r="B8" s="22" t="s">
        <v>634</v>
      </c>
      <c r="C8" s="23" t="n">
        <v>850000000</v>
      </c>
      <c r="D8" s="22" t="s">
        <v>620</v>
      </c>
      <c r="E8" s="22" t="s">
        <v>635</v>
      </c>
      <c r="F8" s="22" t="s">
        <v>622</v>
      </c>
      <c r="G8" s="22" t="s">
        <v>622</v>
      </c>
      <c r="H8" s="22" t="s">
        <v>622</v>
      </c>
    </row>
    <row r="9" customFormat="false" ht="14.25" hidden="false" customHeight="false" outlineLevel="0" collapsed="false">
      <c r="A9" s="22" t="n">
        <v>8</v>
      </c>
      <c r="B9" s="22" t="s">
        <v>636</v>
      </c>
      <c r="C9" s="23" t="n">
        <v>300000000</v>
      </c>
      <c r="D9" s="22" t="s">
        <v>620</v>
      </c>
      <c r="E9" s="22" t="s">
        <v>637</v>
      </c>
      <c r="F9" s="22" t="s">
        <v>622</v>
      </c>
      <c r="G9" s="22" t="s">
        <v>622</v>
      </c>
      <c r="H9" s="22" t="s">
        <v>622</v>
      </c>
    </row>
    <row r="10" customFormat="false" ht="14.25" hidden="false" customHeight="false" outlineLevel="0" collapsed="false">
      <c r="A10" s="22" t="n">
        <v>9</v>
      </c>
      <c r="B10" s="22" t="s">
        <v>638</v>
      </c>
      <c r="C10" s="23" t="n">
        <v>950000000</v>
      </c>
      <c r="D10" s="22" t="s">
        <v>620</v>
      </c>
      <c r="E10" s="22" t="s">
        <v>639</v>
      </c>
      <c r="F10" s="22" t="s">
        <v>622</v>
      </c>
      <c r="G10" s="22" t="s">
        <v>622</v>
      </c>
      <c r="H10" s="22" t="s">
        <v>622</v>
      </c>
    </row>
    <row r="11" customFormat="false" ht="14.25" hidden="false" customHeight="false" outlineLevel="0" collapsed="false">
      <c r="A11" s="22" t="n">
        <v>10</v>
      </c>
      <c r="B11" s="22" t="s">
        <v>640</v>
      </c>
      <c r="C11" s="23" t="n">
        <v>200000000</v>
      </c>
      <c r="D11" s="22" t="s">
        <v>620</v>
      </c>
      <c r="E11" s="22" t="s">
        <v>641</v>
      </c>
      <c r="F11" s="22" t="s">
        <v>629</v>
      </c>
      <c r="G11" s="22" t="s">
        <v>622</v>
      </c>
      <c r="H11" s="22" t="s">
        <v>622</v>
      </c>
    </row>
    <row r="12" customFormat="false" ht="14.25" hidden="false" customHeight="false" outlineLevel="0" collapsed="false">
      <c r="A12" s="22" t="n">
        <v>11</v>
      </c>
      <c r="B12" s="22" t="s">
        <v>642</v>
      </c>
      <c r="C12" s="23" t="n">
        <v>350000000</v>
      </c>
      <c r="D12" s="22" t="s">
        <v>620</v>
      </c>
      <c r="E12" s="22" t="s">
        <v>643</v>
      </c>
      <c r="F12" s="22" t="s">
        <v>622</v>
      </c>
      <c r="G12" s="22" t="s">
        <v>622</v>
      </c>
      <c r="H12" s="22" t="s">
        <v>622</v>
      </c>
    </row>
    <row r="13" customFormat="false" ht="14.25" hidden="false" customHeight="false" outlineLevel="0" collapsed="false">
      <c r="A13" s="22" t="n">
        <v>12</v>
      </c>
      <c r="B13" s="22" t="s">
        <v>644</v>
      </c>
      <c r="C13" s="23" t="n">
        <v>550000000</v>
      </c>
      <c r="D13" s="22" t="s">
        <v>620</v>
      </c>
      <c r="E13" s="22" t="s">
        <v>645</v>
      </c>
      <c r="F13" s="22" t="s">
        <v>622</v>
      </c>
      <c r="G13" s="22" t="s">
        <v>622</v>
      </c>
      <c r="H13" s="22" t="s">
        <v>622</v>
      </c>
    </row>
    <row r="14" customFormat="false" ht="14.25" hidden="false" customHeight="false" outlineLevel="0" collapsed="false">
      <c r="A14" s="22" t="n">
        <v>13</v>
      </c>
      <c r="B14" s="22" t="s">
        <v>646</v>
      </c>
      <c r="C14" s="23" t="n">
        <v>250000000</v>
      </c>
      <c r="D14" s="22" t="s">
        <v>620</v>
      </c>
      <c r="E14" s="22" t="s">
        <v>647</v>
      </c>
      <c r="F14" s="22" t="s">
        <v>629</v>
      </c>
      <c r="G14" s="22" t="s">
        <v>622</v>
      </c>
      <c r="H14" s="22" t="s">
        <v>622</v>
      </c>
    </row>
    <row r="15" customFormat="false" ht="14.25" hidden="false" customHeight="false" outlineLevel="0" collapsed="false">
      <c r="A15" s="22" t="n">
        <v>14</v>
      </c>
      <c r="B15" s="22" t="s">
        <v>648</v>
      </c>
      <c r="C15" s="23" t="n">
        <v>260000000</v>
      </c>
      <c r="D15" s="22" t="s">
        <v>620</v>
      </c>
      <c r="E15" s="22" t="s">
        <v>649</v>
      </c>
      <c r="F15" s="22" t="s">
        <v>622</v>
      </c>
      <c r="G15" s="22" t="s">
        <v>622</v>
      </c>
      <c r="H15" s="22" t="s">
        <v>622</v>
      </c>
    </row>
    <row r="16" customFormat="false" ht="14.25" hidden="false" customHeight="false" outlineLevel="0" collapsed="false">
      <c r="A16" s="22" t="n">
        <v>15</v>
      </c>
      <c r="B16" s="22" t="s">
        <v>650</v>
      </c>
      <c r="C16" s="23" t="n">
        <v>420000000</v>
      </c>
      <c r="D16" s="22" t="s">
        <v>620</v>
      </c>
      <c r="E16" s="22" t="s">
        <v>651</v>
      </c>
      <c r="F16" s="22" t="s">
        <v>622</v>
      </c>
      <c r="G16" s="22" t="s">
        <v>622</v>
      </c>
      <c r="H16" s="22" t="s">
        <v>622</v>
      </c>
    </row>
    <row r="17" customFormat="false" ht="14.25" hidden="false" customHeight="false" outlineLevel="0" collapsed="false">
      <c r="A17" s="22" t="n">
        <v>16</v>
      </c>
      <c r="B17" s="22" t="s">
        <v>652</v>
      </c>
      <c r="C17" s="23" t="n">
        <v>750000000</v>
      </c>
      <c r="D17" s="22" t="s">
        <v>620</v>
      </c>
      <c r="E17" s="22" t="s">
        <v>653</v>
      </c>
      <c r="F17" s="22" t="s">
        <v>622</v>
      </c>
      <c r="G17" s="22" t="s">
        <v>622</v>
      </c>
      <c r="H17" s="22" t="s">
        <v>622</v>
      </c>
    </row>
    <row r="18" customFormat="false" ht="14.25" hidden="false" customHeight="false" outlineLevel="0" collapsed="false">
      <c r="A18" s="22" t="n">
        <v>17</v>
      </c>
      <c r="B18" s="22" t="s">
        <v>654</v>
      </c>
      <c r="C18" s="23" t="n">
        <v>280000000</v>
      </c>
      <c r="D18" s="22" t="s">
        <v>620</v>
      </c>
      <c r="E18" s="22" t="s">
        <v>655</v>
      </c>
      <c r="F18" s="22" t="s">
        <v>622</v>
      </c>
      <c r="G18" s="22" t="s">
        <v>622</v>
      </c>
      <c r="H18" s="22" t="s">
        <v>622</v>
      </c>
    </row>
    <row r="19" customFormat="false" ht="14.25" hidden="false" customHeight="false" outlineLevel="0" collapsed="false">
      <c r="A19" s="22" t="n">
        <v>18</v>
      </c>
      <c r="B19" s="22" t="s">
        <v>656</v>
      </c>
      <c r="C19" s="23" t="n">
        <v>975000000</v>
      </c>
      <c r="D19" s="22" t="s">
        <v>620</v>
      </c>
      <c r="E19" s="22" t="s">
        <v>657</v>
      </c>
      <c r="F19" s="22" t="s">
        <v>622</v>
      </c>
      <c r="G19" s="22" t="s">
        <v>622</v>
      </c>
      <c r="H19" s="22" t="s">
        <v>622</v>
      </c>
    </row>
    <row r="20" customFormat="false" ht="14.25" hidden="false" customHeight="false" outlineLevel="0" collapsed="false">
      <c r="A20" s="22" t="n">
        <v>19</v>
      </c>
      <c r="B20" s="22" t="s">
        <v>658</v>
      </c>
      <c r="C20" s="23" t="n">
        <v>250000000</v>
      </c>
      <c r="D20" s="22" t="s">
        <v>620</v>
      </c>
      <c r="E20" s="22" t="s">
        <v>659</v>
      </c>
      <c r="F20" s="22" t="s">
        <v>629</v>
      </c>
      <c r="G20" s="22" t="s">
        <v>622</v>
      </c>
      <c r="H20" s="22" t="s">
        <v>622</v>
      </c>
    </row>
    <row r="21" customFormat="false" ht="14.25" hidden="false" customHeight="false" outlineLevel="0" collapsed="false">
      <c r="A21" s="22" t="n">
        <v>20</v>
      </c>
      <c r="B21" s="22" t="s">
        <v>660</v>
      </c>
      <c r="C21" s="23" t="n">
        <v>880000000</v>
      </c>
      <c r="D21" s="22" t="s">
        <v>620</v>
      </c>
      <c r="E21" s="22" t="s">
        <v>661</v>
      </c>
      <c r="F21" s="22" t="s">
        <v>622</v>
      </c>
      <c r="G21" s="22" t="s">
        <v>622</v>
      </c>
      <c r="H21" s="22" t="s">
        <v>622</v>
      </c>
    </row>
    <row r="22" customFormat="false" ht="14.25" hidden="false" customHeight="false" outlineLevel="0" collapsed="false">
      <c r="A22" s="22" t="n">
        <v>21</v>
      </c>
      <c r="B22" s="22" t="s">
        <v>662</v>
      </c>
      <c r="C22" s="23" t="n">
        <v>500000000</v>
      </c>
      <c r="D22" s="22" t="s">
        <v>620</v>
      </c>
      <c r="E22" s="22" t="s">
        <v>663</v>
      </c>
      <c r="F22" s="22" t="s">
        <v>622</v>
      </c>
      <c r="G22" s="22" t="s">
        <v>622</v>
      </c>
      <c r="H22" s="22" t="s">
        <v>622</v>
      </c>
    </row>
    <row r="23" customFormat="false" ht="14.25" hidden="false" customHeight="false" outlineLevel="0" collapsed="false">
      <c r="A23" s="22" t="n">
        <v>22</v>
      </c>
      <c r="B23" s="22" t="s">
        <v>664</v>
      </c>
      <c r="C23" s="23" t="n">
        <v>200000000</v>
      </c>
      <c r="D23" s="22" t="s">
        <v>620</v>
      </c>
      <c r="E23" s="22" t="s">
        <v>665</v>
      </c>
      <c r="F23" s="22" t="s">
        <v>629</v>
      </c>
      <c r="G23" s="22" t="s">
        <v>622</v>
      </c>
      <c r="H23" s="22" t="s">
        <v>622</v>
      </c>
    </row>
    <row r="24" customFormat="false" ht="14.25" hidden="false" customHeight="false" outlineLevel="0" collapsed="false">
      <c r="A24" s="22" t="n">
        <v>23</v>
      </c>
      <c r="B24" s="22" t="s">
        <v>666</v>
      </c>
      <c r="C24" s="23" t="n">
        <v>850000000</v>
      </c>
      <c r="D24" s="22" t="s">
        <v>620</v>
      </c>
      <c r="E24" s="22" t="s">
        <v>667</v>
      </c>
      <c r="F24" s="22" t="s">
        <v>622</v>
      </c>
      <c r="G24" s="22" t="s">
        <v>622</v>
      </c>
      <c r="H24" s="22" t="s">
        <v>622</v>
      </c>
    </row>
    <row r="25" customFormat="false" ht="14.25" hidden="false" customHeight="false" outlineLevel="0" collapsed="false">
      <c r="A25" s="22" t="n">
        <v>24</v>
      </c>
      <c r="B25" s="22" t="s">
        <v>668</v>
      </c>
      <c r="C25" s="23" t="n">
        <v>800000000</v>
      </c>
      <c r="D25" s="22" t="s">
        <v>620</v>
      </c>
      <c r="E25" s="22" t="s">
        <v>669</v>
      </c>
      <c r="F25" s="22" t="s">
        <v>622</v>
      </c>
      <c r="G25" s="22" t="s">
        <v>622</v>
      </c>
      <c r="H25" s="22" t="s">
        <v>622</v>
      </c>
    </row>
    <row r="26" customFormat="false" ht="14.25" hidden="false" customHeight="false" outlineLevel="0" collapsed="false">
      <c r="A26" s="22" t="n">
        <v>25</v>
      </c>
      <c r="B26" s="22" t="s">
        <v>670</v>
      </c>
      <c r="C26" s="23" t="n">
        <v>500000000</v>
      </c>
      <c r="D26" s="22" t="s">
        <v>620</v>
      </c>
      <c r="E26" s="22" t="s">
        <v>671</v>
      </c>
      <c r="F26" s="22" t="s">
        <v>622</v>
      </c>
      <c r="G26" s="22" t="s">
        <v>622</v>
      </c>
      <c r="H26" s="22" t="s">
        <v>622</v>
      </c>
    </row>
    <row r="27" customFormat="false" ht="14.25" hidden="false" customHeight="false" outlineLevel="0" collapsed="false">
      <c r="A27" s="22" t="n">
        <v>26</v>
      </c>
      <c r="B27" s="22" t="s">
        <v>672</v>
      </c>
      <c r="C27" s="23" t="n">
        <v>500000000</v>
      </c>
      <c r="D27" s="22" t="s">
        <v>620</v>
      </c>
      <c r="E27" s="22" t="s">
        <v>673</v>
      </c>
      <c r="F27" s="22" t="s">
        <v>622</v>
      </c>
      <c r="G27" s="22" t="s">
        <v>622</v>
      </c>
      <c r="H27" s="22" t="s">
        <v>622</v>
      </c>
    </row>
    <row r="28" customFormat="false" ht="14.25" hidden="false" customHeight="false" outlineLevel="0" collapsed="false">
      <c r="A28" s="22" t="n">
        <v>27</v>
      </c>
      <c r="B28" s="22" t="s">
        <v>674</v>
      </c>
      <c r="C28" s="23" t="n">
        <v>850000000</v>
      </c>
      <c r="D28" s="22" t="s">
        <v>620</v>
      </c>
      <c r="E28" s="22" t="s">
        <v>633</v>
      </c>
      <c r="F28" s="22" t="s">
        <v>622</v>
      </c>
      <c r="G28" s="22" t="s">
        <v>622</v>
      </c>
      <c r="H28" s="22" t="s">
        <v>622</v>
      </c>
    </row>
    <row r="29" customFormat="false" ht="14.25" hidden="false" customHeight="false" outlineLevel="0" collapsed="false">
      <c r="A29" s="22" t="n">
        <v>28</v>
      </c>
      <c r="B29" s="22" t="s">
        <v>675</v>
      </c>
      <c r="C29" s="23" t="n">
        <v>300000000</v>
      </c>
      <c r="D29" s="22" t="s">
        <v>620</v>
      </c>
      <c r="E29" s="22" t="s">
        <v>621</v>
      </c>
      <c r="F29" s="22" t="s">
        <v>622</v>
      </c>
      <c r="G29" s="22" t="s">
        <v>622</v>
      </c>
      <c r="H29" s="22" t="s">
        <v>622</v>
      </c>
    </row>
    <row r="30" customFormat="false" ht="14.25" hidden="false" customHeight="false" outlineLevel="0" collapsed="false">
      <c r="A30" s="22" t="n">
        <v>29</v>
      </c>
      <c r="B30" s="22" t="s">
        <v>676</v>
      </c>
      <c r="C30" s="23" t="n">
        <v>300000000</v>
      </c>
      <c r="D30" s="22" t="s">
        <v>620</v>
      </c>
      <c r="E30" s="22" t="s">
        <v>255</v>
      </c>
      <c r="F30" s="22" t="s">
        <v>622</v>
      </c>
      <c r="G30" s="22" t="s">
        <v>622</v>
      </c>
      <c r="H30" s="22" t="s">
        <v>622</v>
      </c>
    </row>
    <row r="31" customFormat="false" ht="14.25" hidden="false" customHeight="false" outlineLevel="0" collapsed="false">
      <c r="A31" s="22" t="n">
        <v>30</v>
      </c>
      <c r="B31" s="22" t="s">
        <v>677</v>
      </c>
      <c r="C31" s="23" t="n">
        <v>975000000</v>
      </c>
      <c r="D31" s="22" t="s">
        <v>620</v>
      </c>
      <c r="E31" s="22" t="s">
        <v>678</v>
      </c>
      <c r="F31" s="22" t="s">
        <v>622</v>
      </c>
      <c r="G31" s="22" t="s">
        <v>622</v>
      </c>
      <c r="H31" s="22" t="s">
        <v>622</v>
      </c>
    </row>
    <row r="32" customFormat="false" ht="14.25" hidden="false" customHeight="false" outlineLevel="0" collapsed="false">
      <c r="A32" s="22" t="n">
        <v>31</v>
      </c>
      <c r="B32" s="22" t="s">
        <v>679</v>
      </c>
      <c r="C32" s="23" t="n">
        <v>450000000</v>
      </c>
      <c r="D32" s="22" t="s">
        <v>620</v>
      </c>
      <c r="E32" s="22" t="s">
        <v>680</v>
      </c>
      <c r="F32" s="22" t="s">
        <v>622</v>
      </c>
      <c r="G32" s="22" t="s">
        <v>622</v>
      </c>
      <c r="H32" s="22" t="s">
        <v>622</v>
      </c>
    </row>
    <row r="33" customFormat="false" ht="14.25" hidden="false" customHeight="false" outlineLevel="0" collapsed="false">
      <c r="A33" s="22" t="n">
        <v>32</v>
      </c>
      <c r="B33" s="22" t="s">
        <v>681</v>
      </c>
      <c r="C33" s="23" t="n">
        <v>300000000</v>
      </c>
      <c r="D33" s="22" t="s">
        <v>620</v>
      </c>
      <c r="E33" s="22" t="s">
        <v>682</v>
      </c>
      <c r="F33" s="22" t="s">
        <v>622</v>
      </c>
      <c r="G33" s="22" t="s">
        <v>622</v>
      </c>
      <c r="H33" s="22" t="s">
        <v>622</v>
      </c>
    </row>
    <row r="34" customFormat="false" ht="14.25" hidden="false" customHeight="false" outlineLevel="0" collapsed="false">
      <c r="A34" s="22" t="n">
        <v>33</v>
      </c>
      <c r="B34" s="22" t="s">
        <v>683</v>
      </c>
      <c r="C34" s="23" t="n">
        <v>250000000</v>
      </c>
      <c r="D34" s="22" t="s">
        <v>620</v>
      </c>
      <c r="E34" s="22" t="s">
        <v>684</v>
      </c>
      <c r="F34" s="22" t="s">
        <v>629</v>
      </c>
      <c r="G34" s="22" t="s">
        <v>622</v>
      </c>
      <c r="H34" s="22" t="s">
        <v>622</v>
      </c>
    </row>
    <row r="35" customFormat="false" ht="14.25" hidden="false" customHeight="false" outlineLevel="0" collapsed="false">
      <c r="A35" s="22" t="n">
        <v>34</v>
      </c>
      <c r="B35" s="22" t="s">
        <v>685</v>
      </c>
      <c r="C35" s="23" t="n">
        <v>825000000</v>
      </c>
      <c r="D35" s="22" t="s">
        <v>620</v>
      </c>
      <c r="E35" s="22" t="s">
        <v>626</v>
      </c>
      <c r="F35" s="22" t="s">
        <v>622</v>
      </c>
      <c r="G35" s="22" t="s">
        <v>622</v>
      </c>
      <c r="H35" s="22" t="s">
        <v>622</v>
      </c>
    </row>
    <row r="36" customFormat="false" ht="14.25" hidden="false" customHeight="false" outlineLevel="0" collapsed="false">
      <c r="A36" s="22" t="n">
        <v>35</v>
      </c>
      <c r="B36" s="22" t="s">
        <v>686</v>
      </c>
      <c r="C36" s="23" t="n">
        <v>950000000</v>
      </c>
      <c r="D36" s="22" t="s">
        <v>620</v>
      </c>
      <c r="E36" s="22" t="s">
        <v>687</v>
      </c>
      <c r="F36" s="22" t="s">
        <v>622</v>
      </c>
      <c r="G36" s="22" t="s">
        <v>622</v>
      </c>
      <c r="H36" s="22" t="s">
        <v>622</v>
      </c>
    </row>
    <row r="37" customFormat="false" ht="14.25" hidden="false" customHeight="false" outlineLevel="0" collapsed="false">
      <c r="A37" s="22" t="n">
        <v>36</v>
      </c>
      <c r="B37" s="22" t="s">
        <v>688</v>
      </c>
      <c r="C37" s="23" t="n">
        <v>150000000</v>
      </c>
      <c r="D37" s="22" t="s">
        <v>620</v>
      </c>
      <c r="E37" s="22" t="s">
        <v>689</v>
      </c>
      <c r="F37" s="22" t="s">
        <v>629</v>
      </c>
      <c r="G37" s="22" t="s">
        <v>622</v>
      </c>
      <c r="H37" s="22" t="s">
        <v>622</v>
      </c>
    </row>
    <row r="38" customFormat="false" ht="14.25" hidden="false" customHeight="false" outlineLevel="0" collapsed="false">
      <c r="A38" s="22" t="n">
        <v>37</v>
      </c>
      <c r="B38" s="22" t="s">
        <v>690</v>
      </c>
      <c r="C38" s="23" t="n">
        <v>520000000</v>
      </c>
      <c r="D38" s="22" t="s">
        <v>620</v>
      </c>
      <c r="E38" s="22" t="s">
        <v>691</v>
      </c>
      <c r="F38" s="22" t="s">
        <v>622</v>
      </c>
      <c r="G38" s="22" t="s">
        <v>622</v>
      </c>
      <c r="H38" s="22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47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21" t="s">
        <v>304</v>
      </c>
      <c r="B1" s="21" t="s">
        <v>58</v>
      </c>
      <c r="C1" s="21" t="s">
        <v>95</v>
      </c>
      <c r="D1" s="21" t="s">
        <v>305</v>
      </c>
      <c r="E1" s="21" t="s">
        <v>70</v>
      </c>
      <c r="F1" s="21" t="s">
        <v>692</v>
      </c>
      <c r="G1" s="21" t="s">
        <v>308</v>
      </c>
      <c r="H1" s="21" t="s">
        <v>309</v>
      </c>
      <c r="I1" s="21" t="s">
        <v>693</v>
      </c>
      <c r="J1" s="21" t="s">
        <v>310</v>
      </c>
      <c r="K1" s="21" t="s">
        <v>694</v>
      </c>
    </row>
    <row r="2" customFormat="false" ht="24.75" hidden="false" customHeight="true" outlineLevel="0" collapsed="false">
      <c r="A2" s="22" t="n">
        <v>1</v>
      </c>
      <c r="B2" s="22" t="s">
        <v>313</v>
      </c>
      <c r="C2" s="22" t="s">
        <v>312</v>
      </c>
      <c r="D2" s="22" t="s">
        <v>314</v>
      </c>
      <c r="E2" s="22" t="s">
        <v>316</v>
      </c>
      <c r="F2" s="22" t="s">
        <v>695</v>
      </c>
      <c r="G2" s="23" t="n">
        <v>650000000</v>
      </c>
      <c r="H2" s="22" t="s">
        <v>133</v>
      </c>
      <c r="I2" s="27" t="s">
        <v>696</v>
      </c>
      <c r="J2" s="22" t="s">
        <v>247</v>
      </c>
      <c r="K2" s="22" t="s">
        <v>697</v>
      </c>
    </row>
    <row r="3" customFormat="false" ht="24.75" hidden="false" customHeight="true" outlineLevel="0" collapsed="false">
      <c r="A3" s="22" t="n">
        <v>2</v>
      </c>
      <c r="B3" s="22" t="s">
        <v>320</v>
      </c>
      <c r="C3" s="22" t="s">
        <v>319</v>
      </c>
      <c r="D3" s="22" t="s">
        <v>321</v>
      </c>
      <c r="E3" s="22" t="s">
        <v>324</v>
      </c>
      <c r="F3" s="22" t="s">
        <v>695</v>
      </c>
      <c r="G3" s="23" t="n">
        <v>720000000</v>
      </c>
      <c r="H3" s="22" t="s">
        <v>134</v>
      </c>
      <c r="I3" s="27" t="s">
        <v>696</v>
      </c>
      <c r="J3" s="22" t="s">
        <v>247</v>
      </c>
      <c r="K3" s="22" t="s">
        <v>698</v>
      </c>
    </row>
    <row r="4" customFormat="false" ht="24.75" hidden="false" customHeight="true" outlineLevel="0" collapsed="false">
      <c r="A4" s="22" t="n">
        <v>3</v>
      </c>
      <c r="B4" s="22" t="s">
        <v>327</v>
      </c>
      <c r="C4" s="22" t="s">
        <v>326</v>
      </c>
      <c r="D4" s="22" t="s">
        <v>328</v>
      </c>
      <c r="E4" s="22" t="s">
        <v>331</v>
      </c>
      <c r="F4" s="22" t="s">
        <v>695</v>
      </c>
      <c r="G4" s="23" t="n">
        <v>540000000</v>
      </c>
      <c r="H4" s="22" t="s">
        <v>133</v>
      </c>
      <c r="I4" s="27" t="s">
        <v>696</v>
      </c>
      <c r="J4" s="22" t="s">
        <v>247</v>
      </c>
      <c r="K4" s="22" t="s">
        <v>699</v>
      </c>
    </row>
    <row r="5" customFormat="false" ht="24.75" hidden="false" customHeight="true" outlineLevel="0" collapsed="false">
      <c r="A5" s="22" t="n">
        <v>4</v>
      </c>
      <c r="B5" s="22" t="s">
        <v>334</v>
      </c>
      <c r="C5" s="22" t="s">
        <v>333</v>
      </c>
      <c r="D5" s="22" t="s">
        <v>335</v>
      </c>
      <c r="E5" s="22" t="s">
        <v>337</v>
      </c>
      <c r="F5" s="22" t="s">
        <v>695</v>
      </c>
      <c r="G5" s="23" t="n">
        <v>800000000</v>
      </c>
      <c r="H5" s="22" t="s">
        <v>134</v>
      </c>
      <c r="I5" s="27" t="s">
        <v>696</v>
      </c>
      <c r="J5" s="22" t="s">
        <v>247</v>
      </c>
      <c r="K5" s="22" t="s">
        <v>700</v>
      </c>
    </row>
    <row r="6" customFormat="false" ht="24.75" hidden="false" customHeight="true" outlineLevel="0" collapsed="false">
      <c r="A6" s="22" t="n">
        <v>5</v>
      </c>
      <c r="B6" s="22" t="s">
        <v>340</v>
      </c>
      <c r="C6" s="22" t="s">
        <v>339</v>
      </c>
      <c r="D6" s="22" t="s">
        <v>341</v>
      </c>
      <c r="E6" s="22" t="s">
        <v>343</v>
      </c>
      <c r="F6" s="22" t="s">
        <v>695</v>
      </c>
      <c r="G6" s="23" t="n">
        <v>610000000</v>
      </c>
      <c r="H6" s="22" t="s">
        <v>133</v>
      </c>
      <c r="I6" s="27" t="s">
        <v>696</v>
      </c>
      <c r="J6" s="22" t="s">
        <v>247</v>
      </c>
      <c r="K6" s="22" t="s">
        <v>701</v>
      </c>
    </row>
    <row r="7" customFormat="false" ht="24.75" hidden="false" customHeight="true" outlineLevel="0" collapsed="false">
      <c r="A7" s="22" t="n">
        <v>6</v>
      </c>
      <c r="B7" s="22" t="s">
        <v>346</v>
      </c>
      <c r="C7" s="22" t="s">
        <v>345</v>
      </c>
      <c r="D7" s="22" t="s">
        <v>347</v>
      </c>
      <c r="E7" s="22" t="s">
        <v>348</v>
      </c>
      <c r="F7" s="22" t="s">
        <v>695</v>
      </c>
      <c r="G7" s="23" t="n">
        <v>700000000</v>
      </c>
      <c r="H7" s="22" t="s">
        <v>134</v>
      </c>
      <c r="I7" s="27" t="s">
        <v>696</v>
      </c>
      <c r="J7" s="22" t="s">
        <v>247</v>
      </c>
      <c r="K7" s="22" t="s">
        <v>702</v>
      </c>
    </row>
    <row r="8" customFormat="false" ht="24.75" hidden="false" customHeight="true" outlineLevel="0" collapsed="false">
      <c r="A8" s="22" t="n">
        <v>7</v>
      </c>
      <c r="B8" s="22" t="s">
        <v>351</v>
      </c>
      <c r="C8" s="22" t="s">
        <v>350</v>
      </c>
      <c r="D8" s="22" t="s">
        <v>352</v>
      </c>
      <c r="E8" s="22" t="s">
        <v>353</v>
      </c>
      <c r="F8" s="22" t="s">
        <v>695</v>
      </c>
      <c r="G8" s="23" t="n">
        <v>560000000</v>
      </c>
      <c r="H8" s="22" t="s">
        <v>133</v>
      </c>
      <c r="I8" s="27" t="s">
        <v>696</v>
      </c>
      <c r="J8" s="22" t="s">
        <v>247</v>
      </c>
      <c r="K8" s="22" t="s">
        <v>703</v>
      </c>
    </row>
    <row r="9" customFormat="false" ht="24.75" hidden="false" customHeight="true" outlineLevel="0" collapsed="false">
      <c r="A9" s="22" t="n">
        <v>8</v>
      </c>
      <c r="B9" s="22" t="s">
        <v>356</v>
      </c>
      <c r="C9" s="22" t="s">
        <v>355</v>
      </c>
      <c r="D9" s="22" t="s">
        <v>357</v>
      </c>
      <c r="E9" s="22" t="s">
        <v>358</v>
      </c>
      <c r="F9" s="22" t="s">
        <v>695</v>
      </c>
      <c r="G9" s="23" t="n">
        <v>750000000</v>
      </c>
      <c r="H9" s="22" t="s">
        <v>134</v>
      </c>
      <c r="I9" s="27" t="s">
        <v>696</v>
      </c>
      <c r="J9" s="22" t="s">
        <v>247</v>
      </c>
      <c r="K9" s="22" t="s">
        <v>704</v>
      </c>
    </row>
    <row r="10" customFormat="false" ht="24.75" hidden="false" customHeight="true" outlineLevel="0" collapsed="false">
      <c r="A10" s="22" t="n">
        <v>9</v>
      </c>
      <c r="B10" s="22" t="s">
        <v>361</v>
      </c>
      <c r="C10" s="22" t="s">
        <v>360</v>
      </c>
      <c r="D10" s="22" t="s">
        <v>362</v>
      </c>
      <c r="E10" s="22" t="s">
        <v>363</v>
      </c>
      <c r="F10" s="22" t="s">
        <v>695</v>
      </c>
      <c r="G10" s="23" t="n">
        <v>630000000</v>
      </c>
      <c r="H10" s="22" t="s">
        <v>133</v>
      </c>
      <c r="I10" s="27" t="s">
        <v>696</v>
      </c>
      <c r="J10" s="22" t="s">
        <v>247</v>
      </c>
      <c r="K10" s="22" t="s">
        <v>705</v>
      </c>
    </row>
    <row r="11" customFormat="false" ht="24.75" hidden="false" customHeight="true" outlineLevel="0" collapsed="false">
      <c r="A11" s="22" t="n">
        <v>10</v>
      </c>
      <c r="B11" s="22" t="s">
        <v>366</v>
      </c>
      <c r="C11" s="22" t="s">
        <v>365</v>
      </c>
      <c r="D11" s="22" t="s">
        <v>367</v>
      </c>
      <c r="E11" s="22" t="s">
        <v>368</v>
      </c>
      <c r="F11" s="22" t="s">
        <v>695</v>
      </c>
      <c r="G11" s="23" t="n">
        <v>890000000</v>
      </c>
      <c r="H11" s="22" t="s">
        <v>134</v>
      </c>
      <c r="I11" s="27" t="s">
        <v>696</v>
      </c>
      <c r="J11" s="22" t="s">
        <v>247</v>
      </c>
      <c r="K11" s="22" t="s">
        <v>706</v>
      </c>
    </row>
    <row r="12" customFormat="false" ht="24.75" hidden="false" customHeight="true" outlineLevel="0" collapsed="false">
      <c r="A12" s="22" t="n">
        <v>11</v>
      </c>
      <c r="B12" s="22" t="s">
        <v>371</v>
      </c>
      <c r="C12" s="22" t="s">
        <v>370</v>
      </c>
      <c r="D12" s="22" t="s">
        <v>372</v>
      </c>
      <c r="E12" s="22" t="s">
        <v>373</v>
      </c>
      <c r="F12" s="22" t="s">
        <v>695</v>
      </c>
      <c r="G12" s="23" t="n">
        <v>700000000</v>
      </c>
      <c r="H12" s="22" t="s">
        <v>133</v>
      </c>
      <c r="I12" s="27" t="s">
        <v>696</v>
      </c>
      <c r="J12" s="22" t="s">
        <v>247</v>
      </c>
      <c r="K12" s="22" t="s">
        <v>707</v>
      </c>
    </row>
    <row r="13" customFormat="false" ht="24.75" hidden="false" customHeight="true" outlineLevel="0" collapsed="false">
      <c r="A13" s="22" t="n">
        <v>12</v>
      </c>
      <c r="B13" s="22" t="s">
        <v>376</v>
      </c>
      <c r="C13" s="22" t="s">
        <v>375</v>
      </c>
      <c r="D13" s="22" t="s">
        <v>377</v>
      </c>
      <c r="E13" s="22" t="s">
        <v>378</v>
      </c>
      <c r="F13" s="22" t="s">
        <v>695</v>
      </c>
      <c r="G13" s="23" t="n">
        <v>500000000</v>
      </c>
      <c r="H13" s="22" t="s">
        <v>134</v>
      </c>
      <c r="I13" s="27" t="s">
        <v>696</v>
      </c>
      <c r="J13" s="22" t="s">
        <v>247</v>
      </c>
      <c r="K13" s="22" t="s">
        <v>708</v>
      </c>
    </row>
    <row r="14" customFormat="false" ht="24.75" hidden="false" customHeight="true" outlineLevel="0" collapsed="false">
      <c r="A14" s="22" t="n">
        <v>13</v>
      </c>
      <c r="B14" s="22" t="s">
        <v>381</v>
      </c>
      <c r="C14" s="22" t="s">
        <v>380</v>
      </c>
      <c r="D14" s="22" t="s">
        <v>382</v>
      </c>
      <c r="E14" s="22" t="s">
        <v>383</v>
      </c>
      <c r="F14" s="22" t="s">
        <v>695</v>
      </c>
      <c r="G14" s="23" t="n">
        <v>650000000</v>
      </c>
      <c r="H14" s="22" t="s">
        <v>133</v>
      </c>
      <c r="I14" s="27" t="s">
        <v>696</v>
      </c>
      <c r="J14" s="22" t="s">
        <v>247</v>
      </c>
      <c r="K14" s="22" t="s">
        <v>709</v>
      </c>
    </row>
    <row r="15" customFormat="false" ht="24.75" hidden="false" customHeight="true" outlineLevel="0" collapsed="false">
      <c r="A15" s="22" t="n">
        <v>14</v>
      </c>
      <c r="B15" s="22" t="s">
        <v>386</v>
      </c>
      <c r="C15" s="22" t="s">
        <v>385</v>
      </c>
      <c r="D15" s="22" t="s">
        <v>387</v>
      </c>
      <c r="E15" s="22" t="s">
        <v>388</v>
      </c>
      <c r="F15" s="22" t="s">
        <v>695</v>
      </c>
      <c r="G15" s="23" t="n">
        <v>600000000</v>
      </c>
      <c r="H15" s="22" t="s">
        <v>134</v>
      </c>
      <c r="I15" s="27" t="s">
        <v>696</v>
      </c>
      <c r="J15" s="22" t="s">
        <v>247</v>
      </c>
      <c r="K15" s="22" t="s">
        <v>710</v>
      </c>
    </row>
    <row r="16" customFormat="false" ht="24.75" hidden="false" customHeight="true" outlineLevel="0" collapsed="false">
      <c r="A16" s="22" t="n">
        <v>15</v>
      </c>
      <c r="B16" s="22" t="s">
        <v>391</v>
      </c>
      <c r="C16" s="22" t="s">
        <v>390</v>
      </c>
      <c r="D16" s="22" t="s">
        <v>392</v>
      </c>
      <c r="E16" s="22" t="s">
        <v>393</v>
      </c>
      <c r="F16" s="22" t="s">
        <v>695</v>
      </c>
      <c r="G16" s="23" t="n">
        <v>800000000</v>
      </c>
      <c r="H16" s="22" t="s">
        <v>133</v>
      </c>
      <c r="I16" s="27" t="s">
        <v>696</v>
      </c>
      <c r="J16" s="22" t="s">
        <v>247</v>
      </c>
      <c r="K16" s="22" t="s">
        <v>711</v>
      </c>
    </row>
    <row r="17" customFormat="false" ht="24.75" hidden="false" customHeight="true" outlineLevel="0" collapsed="false">
      <c r="A17" s="22" t="n">
        <v>16</v>
      </c>
      <c r="B17" s="22" t="s">
        <v>396</v>
      </c>
      <c r="C17" s="22" t="s">
        <v>395</v>
      </c>
      <c r="D17" s="22" t="s">
        <v>397</v>
      </c>
      <c r="E17" s="22" t="s">
        <v>398</v>
      </c>
      <c r="F17" s="22" t="s">
        <v>695</v>
      </c>
      <c r="G17" s="23" t="n">
        <v>520000000</v>
      </c>
      <c r="H17" s="22" t="s">
        <v>134</v>
      </c>
      <c r="I17" s="27" t="s">
        <v>696</v>
      </c>
      <c r="J17" s="22" t="s">
        <v>247</v>
      </c>
      <c r="K17" s="22" t="s">
        <v>712</v>
      </c>
    </row>
    <row r="18" customFormat="false" ht="24.75" hidden="false" customHeight="true" outlineLevel="0" collapsed="false">
      <c r="A18" s="22" t="n">
        <v>17</v>
      </c>
      <c r="B18" s="22" t="s">
        <v>401</v>
      </c>
      <c r="C18" s="22" t="s">
        <v>400</v>
      </c>
      <c r="D18" s="22" t="s">
        <v>402</v>
      </c>
      <c r="E18" s="22" t="s">
        <v>403</v>
      </c>
      <c r="F18" s="22" t="s">
        <v>695</v>
      </c>
      <c r="G18" s="23" t="n">
        <v>750000000</v>
      </c>
      <c r="H18" s="22" t="s">
        <v>133</v>
      </c>
      <c r="I18" s="27" t="s">
        <v>696</v>
      </c>
      <c r="J18" s="22" t="s">
        <v>247</v>
      </c>
      <c r="K18" s="22" t="s">
        <v>713</v>
      </c>
    </row>
    <row r="19" customFormat="false" ht="24.75" hidden="false" customHeight="true" outlineLevel="0" collapsed="false">
      <c r="A19" s="22" t="n">
        <v>18</v>
      </c>
      <c r="B19" s="22" t="s">
        <v>406</v>
      </c>
      <c r="C19" s="22" t="s">
        <v>405</v>
      </c>
      <c r="D19" s="22" t="s">
        <v>407</v>
      </c>
      <c r="E19" s="22" t="s">
        <v>408</v>
      </c>
      <c r="F19" s="22" t="s">
        <v>695</v>
      </c>
      <c r="G19" s="23" t="n">
        <v>650000000</v>
      </c>
      <c r="H19" s="22" t="s">
        <v>134</v>
      </c>
      <c r="I19" s="27" t="s">
        <v>696</v>
      </c>
      <c r="J19" s="22" t="s">
        <v>247</v>
      </c>
      <c r="K19" s="22" t="s">
        <v>714</v>
      </c>
    </row>
    <row r="20" customFormat="false" ht="24.75" hidden="false" customHeight="true" outlineLevel="0" collapsed="false">
      <c r="A20" s="22" t="n">
        <v>19</v>
      </c>
      <c r="B20" s="22" t="s">
        <v>411</v>
      </c>
      <c r="C20" s="22" t="s">
        <v>410</v>
      </c>
      <c r="D20" s="22" t="s">
        <v>412</v>
      </c>
      <c r="E20" s="22" t="s">
        <v>413</v>
      </c>
      <c r="F20" s="22" t="s">
        <v>695</v>
      </c>
      <c r="G20" s="23" t="n">
        <v>600000000</v>
      </c>
      <c r="H20" s="22" t="s">
        <v>133</v>
      </c>
      <c r="I20" s="27" t="s">
        <v>696</v>
      </c>
      <c r="J20" s="22" t="s">
        <v>247</v>
      </c>
      <c r="K20" s="22" t="s">
        <v>715</v>
      </c>
    </row>
    <row r="21" customFormat="false" ht="24.75" hidden="false" customHeight="true" outlineLevel="0" collapsed="false">
      <c r="A21" s="22" t="n">
        <v>20</v>
      </c>
      <c r="B21" s="22" t="s">
        <v>416</v>
      </c>
      <c r="C21" s="22" t="s">
        <v>415</v>
      </c>
      <c r="D21" s="22" t="s">
        <v>417</v>
      </c>
      <c r="E21" s="22" t="s">
        <v>418</v>
      </c>
      <c r="F21" s="22" t="s">
        <v>695</v>
      </c>
      <c r="G21" s="23" t="n">
        <v>540000000</v>
      </c>
      <c r="H21" s="22" t="s">
        <v>134</v>
      </c>
      <c r="I21" s="27" t="s">
        <v>696</v>
      </c>
      <c r="J21" s="22" t="s">
        <v>247</v>
      </c>
      <c r="K21" s="22" t="s">
        <v>716</v>
      </c>
    </row>
    <row r="22" customFormat="false" ht="24.75" hidden="false" customHeight="true" outlineLevel="0" collapsed="false">
      <c r="A22" s="22" t="n">
        <v>21</v>
      </c>
      <c r="B22" s="22" t="s">
        <v>421</v>
      </c>
      <c r="C22" s="22" t="s">
        <v>420</v>
      </c>
      <c r="D22" s="22" t="s">
        <v>422</v>
      </c>
      <c r="E22" s="22" t="s">
        <v>423</v>
      </c>
      <c r="F22" s="22" t="s">
        <v>695</v>
      </c>
      <c r="G22" s="23" t="n">
        <v>720000000</v>
      </c>
      <c r="H22" s="22" t="s">
        <v>133</v>
      </c>
      <c r="I22" s="27" t="s">
        <v>696</v>
      </c>
      <c r="J22" s="22" t="s">
        <v>247</v>
      </c>
      <c r="K22" s="22" t="s">
        <v>717</v>
      </c>
    </row>
    <row r="23" customFormat="false" ht="24.75" hidden="false" customHeight="true" outlineLevel="0" collapsed="false">
      <c r="A23" s="22" t="n">
        <v>22</v>
      </c>
      <c r="B23" s="22" t="s">
        <v>426</v>
      </c>
      <c r="C23" s="22" t="s">
        <v>425</v>
      </c>
      <c r="D23" s="22" t="s">
        <v>427</v>
      </c>
      <c r="E23" s="22" t="s">
        <v>428</v>
      </c>
      <c r="F23" s="22" t="s">
        <v>695</v>
      </c>
      <c r="G23" s="23" t="n">
        <v>550000000</v>
      </c>
      <c r="H23" s="22" t="s">
        <v>134</v>
      </c>
      <c r="I23" s="27" t="s">
        <v>696</v>
      </c>
      <c r="J23" s="22" t="s">
        <v>247</v>
      </c>
      <c r="K23" s="22" t="s">
        <v>718</v>
      </c>
    </row>
    <row r="24" customFormat="false" ht="24.75" hidden="false" customHeight="true" outlineLevel="0" collapsed="false">
      <c r="A24" s="22" t="n">
        <v>23</v>
      </c>
      <c r="B24" s="22" t="s">
        <v>431</v>
      </c>
      <c r="C24" s="22" t="s">
        <v>430</v>
      </c>
      <c r="D24" s="22" t="s">
        <v>432</v>
      </c>
      <c r="E24" s="22" t="s">
        <v>433</v>
      </c>
      <c r="F24" s="22" t="s">
        <v>695</v>
      </c>
      <c r="G24" s="23" t="n">
        <v>680000000</v>
      </c>
      <c r="H24" s="22" t="s">
        <v>133</v>
      </c>
      <c r="I24" s="27" t="s">
        <v>696</v>
      </c>
      <c r="J24" s="22" t="s">
        <v>247</v>
      </c>
      <c r="K24" s="22" t="s">
        <v>719</v>
      </c>
    </row>
    <row r="25" customFormat="false" ht="24.75" hidden="false" customHeight="true" outlineLevel="0" collapsed="false">
      <c r="A25" s="22" t="n">
        <v>24</v>
      </c>
      <c r="B25" s="22" t="s">
        <v>436</v>
      </c>
      <c r="C25" s="22" t="s">
        <v>435</v>
      </c>
      <c r="D25" s="22" t="s">
        <v>437</v>
      </c>
      <c r="E25" s="22" t="s">
        <v>438</v>
      </c>
      <c r="F25" s="22" t="s">
        <v>695</v>
      </c>
      <c r="G25" s="23" t="n">
        <v>560000000</v>
      </c>
      <c r="H25" s="22" t="s">
        <v>134</v>
      </c>
      <c r="I25" s="27" t="s">
        <v>696</v>
      </c>
      <c r="J25" s="22" t="s">
        <v>247</v>
      </c>
      <c r="K25" s="22" t="s">
        <v>720</v>
      </c>
    </row>
    <row r="26" customFormat="false" ht="24.75" hidden="false" customHeight="true" outlineLevel="0" collapsed="false">
      <c r="A26" s="22" t="n">
        <v>25</v>
      </c>
      <c r="B26" s="22" t="s">
        <v>441</v>
      </c>
      <c r="C26" s="22" t="s">
        <v>440</v>
      </c>
      <c r="D26" s="22" t="s">
        <v>442</v>
      </c>
      <c r="E26" s="22" t="s">
        <v>443</v>
      </c>
      <c r="F26" s="22" t="s">
        <v>695</v>
      </c>
      <c r="G26" s="23" t="n">
        <v>900000000</v>
      </c>
      <c r="H26" s="22" t="s">
        <v>133</v>
      </c>
      <c r="I26" s="27" t="s">
        <v>696</v>
      </c>
      <c r="J26" s="22" t="s">
        <v>247</v>
      </c>
      <c r="K26" s="22" t="s">
        <v>721</v>
      </c>
    </row>
    <row r="27" customFormat="false" ht="24.75" hidden="false" customHeight="true" outlineLevel="0" collapsed="false">
      <c r="A27" s="22" t="n">
        <v>26</v>
      </c>
      <c r="B27" s="22" t="s">
        <v>446</v>
      </c>
      <c r="C27" s="22" t="s">
        <v>445</v>
      </c>
      <c r="D27" s="22" t="s">
        <v>447</v>
      </c>
      <c r="E27" s="22" t="s">
        <v>448</v>
      </c>
      <c r="F27" s="22" t="s">
        <v>695</v>
      </c>
      <c r="G27" s="23" t="n">
        <v>700000000</v>
      </c>
      <c r="H27" s="22" t="s">
        <v>134</v>
      </c>
      <c r="I27" s="27" t="s">
        <v>696</v>
      </c>
      <c r="J27" s="22" t="s">
        <v>247</v>
      </c>
      <c r="K27" s="22" t="s">
        <v>722</v>
      </c>
    </row>
    <row r="28" customFormat="false" ht="24.75" hidden="false" customHeight="true" outlineLevel="0" collapsed="false">
      <c r="A28" s="22" t="n">
        <v>27</v>
      </c>
      <c r="B28" s="22" t="s">
        <v>451</v>
      </c>
      <c r="C28" s="22" t="s">
        <v>450</v>
      </c>
      <c r="D28" s="22" t="s">
        <v>452</v>
      </c>
      <c r="E28" s="22" t="s">
        <v>453</v>
      </c>
      <c r="F28" s="22" t="s">
        <v>695</v>
      </c>
      <c r="G28" s="23" t="n">
        <v>550000000</v>
      </c>
      <c r="H28" s="22" t="s">
        <v>133</v>
      </c>
      <c r="I28" s="27" t="s">
        <v>696</v>
      </c>
      <c r="J28" s="22" t="s">
        <v>247</v>
      </c>
      <c r="K28" s="22" t="s">
        <v>723</v>
      </c>
    </row>
    <row r="29" customFormat="false" ht="24.75" hidden="false" customHeight="true" outlineLevel="0" collapsed="false">
      <c r="A29" s="22" t="n">
        <v>28</v>
      </c>
      <c r="B29" s="22" t="s">
        <v>456</v>
      </c>
      <c r="C29" s="22" t="s">
        <v>455</v>
      </c>
      <c r="D29" s="22" t="s">
        <v>457</v>
      </c>
      <c r="E29" s="22" t="s">
        <v>458</v>
      </c>
      <c r="F29" s="22" t="s">
        <v>695</v>
      </c>
      <c r="G29" s="23" t="n">
        <v>580000000</v>
      </c>
      <c r="H29" s="22" t="s">
        <v>134</v>
      </c>
      <c r="I29" s="27" t="s">
        <v>696</v>
      </c>
      <c r="J29" s="22" t="s">
        <v>247</v>
      </c>
      <c r="K29" s="22" t="s">
        <v>724</v>
      </c>
    </row>
    <row r="30" customFormat="false" ht="24.75" hidden="false" customHeight="true" outlineLevel="0" collapsed="false">
      <c r="A30" s="22" t="n">
        <v>29</v>
      </c>
      <c r="B30" s="22" t="s">
        <v>461</v>
      </c>
      <c r="C30" s="22" t="s">
        <v>460</v>
      </c>
      <c r="D30" s="22" t="s">
        <v>462</v>
      </c>
      <c r="E30" s="22" t="s">
        <v>463</v>
      </c>
      <c r="F30" s="22" t="s">
        <v>695</v>
      </c>
      <c r="G30" s="23" t="n">
        <v>770000000</v>
      </c>
      <c r="H30" s="22" t="s">
        <v>133</v>
      </c>
      <c r="I30" s="27" t="s">
        <v>696</v>
      </c>
      <c r="J30" s="22" t="s">
        <v>247</v>
      </c>
      <c r="K30" s="22" t="s">
        <v>725</v>
      </c>
    </row>
    <row r="31" customFormat="false" ht="24.75" hidden="false" customHeight="true" outlineLevel="0" collapsed="false">
      <c r="A31" s="22" t="n">
        <v>30</v>
      </c>
      <c r="B31" s="22" t="s">
        <v>466</v>
      </c>
      <c r="C31" s="22" t="s">
        <v>465</v>
      </c>
      <c r="D31" s="22" t="s">
        <v>467</v>
      </c>
      <c r="E31" s="22" t="s">
        <v>468</v>
      </c>
      <c r="F31" s="22" t="s">
        <v>695</v>
      </c>
      <c r="G31" s="23" t="n">
        <v>620000000</v>
      </c>
      <c r="H31" s="22" t="s">
        <v>134</v>
      </c>
      <c r="I31" s="27" t="s">
        <v>696</v>
      </c>
      <c r="J31" s="22" t="s">
        <v>247</v>
      </c>
      <c r="K31" s="22" t="s">
        <v>726</v>
      </c>
    </row>
    <row r="32" customFormat="false" ht="24.75" hidden="false" customHeight="true" outlineLevel="0" collapsed="false">
      <c r="A32" s="22" t="n">
        <v>31</v>
      </c>
      <c r="B32" s="22" t="s">
        <v>471</v>
      </c>
      <c r="C32" s="22" t="s">
        <v>470</v>
      </c>
      <c r="D32" s="22" t="s">
        <v>472</v>
      </c>
      <c r="E32" s="22" t="s">
        <v>473</v>
      </c>
      <c r="F32" s="22" t="s">
        <v>695</v>
      </c>
      <c r="G32" s="23" t="n">
        <v>600000000</v>
      </c>
      <c r="H32" s="22" t="s">
        <v>133</v>
      </c>
      <c r="I32" s="27" t="s">
        <v>696</v>
      </c>
      <c r="J32" s="22" t="s">
        <v>247</v>
      </c>
      <c r="K32" s="22" t="s">
        <v>727</v>
      </c>
    </row>
    <row r="33" customFormat="false" ht="24.75" hidden="false" customHeight="true" outlineLevel="0" collapsed="false">
      <c r="A33" s="22" t="n">
        <v>32</v>
      </c>
      <c r="B33" s="22" t="s">
        <v>476</v>
      </c>
      <c r="C33" s="22" t="s">
        <v>475</v>
      </c>
      <c r="D33" s="22" t="s">
        <v>477</v>
      </c>
      <c r="E33" s="22" t="s">
        <v>478</v>
      </c>
      <c r="F33" s="22" t="s">
        <v>695</v>
      </c>
      <c r="G33" s="23" t="n">
        <v>840000000</v>
      </c>
      <c r="H33" s="22" t="s">
        <v>134</v>
      </c>
      <c r="I33" s="27" t="s">
        <v>696</v>
      </c>
      <c r="J33" s="22" t="s">
        <v>247</v>
      </c>
      <c r="K33" s="22" t="s">
        <v>728</v>
      </c>
    </row>
    <row r="34" customFormat="false" ht="24.75" hidden="false" customHeight="true" outlineLevel="0" collapsed="false">
      <c r="A34" s="22" t="n">
        <v>33</v>
      </c>
      <c r="B34" s="22" t="s">
        <v>481</v>
      </c>
      <c r="C34" s="22" t="s">
        <v>480</v>
      </c>
      <c r="D34" s="22" t="s">
        <v>482</v>
      </c>
      <c r="E34" s="22" t="s">
        <v>483</v>
      </c>
      <c r="F34" s="22" t="s">
        <v>695</v>
      </c>
      <c r="G34" s="23" t="n">
        <v>710000000</v>
      </c>
      <c r="H34" s="22" t="s">
        <v>133</v>
      </c>
      <c r="I34" s="27" t="s">
        <v>696</v>
      </c>
      <c r="J34" s="22" t="s">
        <v>247</v>
      </c>
      <c r="K34" s="22" t="s">
        <v>729</v>
      </c>
    </row>
    <row r="35" customFormat="false" ht="24.75" hidden="false" customHeight="true" outlineLevel="0" collapsed="false">
      <c r="A35" s="22" t="n">
        <v>34</v>
      </c>
      <c r="B35" s="22" t="s">
        <v>486</v>
      </c>
      <c r="C35" s="22" t="s">
        <v>485</v>
      </c>
      <c r="D35" s="22" t="s">
        <v>487</v>
      </c>
      <c r="E35" s="22" t="s">
        <v>488</v>
      </c>
      <c r="F35" s="22" t="s">
        <v>695</v>
      </c>
      <c r="G35" s="23" t="n">
        <v>620000000</v>
      </c>
      <c r="H35" s="22" t="s">
        <v>134</v>
      </c>
      <c r="I35" s="27" t="s">
        <v>696</v>
      </c>
      <c r="J35" s="22" t="s">
        <v>247</v>
      </c>
      <c r="K35" s="22" t="s">
        <v>730</v>
      </c>
    </row>
    <row r="36" customFormat="false" ht="24.75" hidden="false" customHeight="true" outlineLevel="0" collapsed="false">
      <c r="A36" s="22" t="n">
        <v>35</v>
      </c>
      <c r="B36" s="22" t="s">
        <v>491</v>
      </c>
      <c r="C36" s="22" t="s">
        <v>490</v>
      </c>
      <c r="D36" s="22" t="s">
        <v>492</v>
      </c>
      <c r="E36" s="22" t="s">
        <v>493</v>
      </c>
      <c r="F36" s="22" t="s">
        <v>695</v>
      </c>
      <c r="G36" s="23" t="n">
        <v>690000000</v>
      </c>
      <c r="H36" s="22" t="s">
        <v>133</v>
      </c>
      <c r="I36" s="27" t="s">
        <v>696</v>
      </c>
      <c r="J36" s="22" t="s">
        <v>247</v>
      </c>
      <c r="K36" s="22" t="s">
        <v>731</v>
      </c>
    </row>
    <row r="37" customFormat="false" ht="24.75" hidden="false" customHeight="true" outlineLevel="0" collapsed="false">
      <c r="A37" s="22" t="n">
        <v>36</v>
      </c>
      <c r="B37" s="22" t="s">
        <v>496</v>
      </c>
      <c r="C37" s="22" t="s">
        <v>495</v>
      </c>
      <c r="D37" s="22" t="s">
        <v>497</v>
      </c>
      <c r="E37" s="22" t="s">
        <v>498</v>
      </c>
      <c r="F37" s="22" t="s">
        <v>695</v>
      </c>
      <c r="G37" s="23" t="n">
        <v>760000000</v>
      </c>
      <c r="H37" s="22" t="s">
        <v>134</v>
      </c>
      <c r="I37" s="27" t="s">
        <v>696</v>
      </c>
      <c r="J37" s="22" t="s">
        <v>247</v>
      </c>
      <c r="K37" s="22" t="s">
        <v>732</v>
      </c>
    </row>
    <row r="38" customFormat="false" ht="24.75" hidden="false" customHeight="true" outlineLevel="0" collapsed="false">
      <c r="A38" s="22" t="n">
        <v>37</v>
      </c>
      <c r="B38" s="22" t="s">
        <v>501</v>
      </c>
      <c r="C38" s="22" t="s">
        <v>500</v>
      </c>
      <c r="D38" s="22" t="s">
        <v>502</v>
      </c>
      <c r="E38" s="22" t="s">
        <v>503</v>
      </c>
      <c r="F38" s="22" t="s">
        <v>695</v>
      </c>
      <c r="G38" s="23" t="n">
        <v>660000000</v>
      </c>
      <c r="H38" s="22" t="s">
        <v>133</v>
      </c>
      <c r="I38" s="27" t="s">
        <v>696</v>
      </c>
      <c r="J38" s="22" t="s">
        <v>247</v>
      </c>
      <c r="K38" s="22" t="s">
        <v>733</v>
      </c>
    </row>
    <row r="39" customFormat="false" ht="24.75" hidden="false" customHeight="true" outlineLevel="0" collapsed="false">
      <c r="A39" s="22" t="n">
        <v>38</v>
      </c>
      <c r="B39" s="22" t="s">
        <v>506</v>
      </c>
      <c r="C39" s="22" t="s">
        <v>505</v>
      </c>
      <c r="D39" s="22" t="s">
        <v>507</v>
      </c>
      <c r="E39" s="22" t="s">
        <v>508</v>
      </c>
      <c r="F39" s="22" t="s">
        <v>695</v>
      </c>
      <c r="G39" s="23" t="n">
        <v>730000000</v>
      </c>
      <c r="H39" s="22" t="s">
        <v>134</v>
      </c>
      <c r="I39" s="27" t="s">
        <v>696</v>
      </c>
      <c r="J39" s="22" t="s">
        <v>247</v>
      </c>
      <c r="K39" s="22" t="s">
        <v>734</v>
      </c>
    </row>
    <row r="40" customFormat="false" ht="24.75" hidden="false" customHeight="true" outlineLevel="0" collapsed="false">
      <c r="A40" s="22" t="n">
        <v>39</v>
      </c>
      <c r="B40" s="22" t="s">
        <v>511</v>
      </c>
      <c r="C40" s="22" t="s">
        <v>510</v>
      </c>
      <c r="D40" s="22" t="s">
        <v>512</v>
      </c>
      <c r="E40" s="22" t="s">
        <v>513</v>
      </c>
      <c r="F40" s="22" t="s">
        <v>695</v>
      </c>
      <c r="G40" s="23" t="n">
        <v>810000000</v>
      </c>
      <c r="H40" s="22" t="s">
        <v>133</v>
      </c>
      <c r="I40" s="27" t="s">
        <v>696</v>
      </c>
      <c r="J40" s="22" t="s">
        <v>247</v>
      </c>
      <c r="K40" s="22" t="s">
        <v>735</v>
      </c>
    </row>
    <row r="41" customFormat="false" ht="24.75" hidden="false" customHeight="true" outlineLevel="0" collapsed="false">
      <c r="A41" s="22" t="n">
        <v>40</v>
      </c>
      <c r="B41" s="22" t="s">
        <v>516</v>
      </c>
      <c r="C41" s="22" t="s">
        <v>515</v>
      </c>
      <c r="D41" s="22" t="s">
        <v>517</v>
      </c>
      <c r="E41" s="22" t="s">
        <v>518</v>
      </c>
      <c r="F41" s="22" t="s">
        <v>695</v>
      </c>
      <c r="G41" s="23" t="n">
        <v>720000000</v>
      </c>
      <c r="H41" s="22" t="s">
        <v>134</v>
      </c>
      <c r="I41" s="27" t="s">
        <v>696</v>
      </c>
      <c r="J41" s="22" t="s">
        <v>247</v>
      </c>
      <c r="K41" s="22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48"/>
  </cols>
  <sheetData>
    <row r="1" customFormat="false" ht="14.25" hidden="false" customHeight="false" outlineLevel="0" collapsed="false">
      <c r="A1" s="21" t="s">
        <v>520</v>
      </c>
      <c r="B1" s="21" t="s">
        <v>95</v>
      </c>
      <c r="C1" s="21" t="s">
        <v>92</v>
      </c>
      <c r="D1" s="21" t="s">
        <v>614</v>
      </c>
      <c r="E1" s="21" t="s">
        <v>737</v>
      </c>
      <c r="F1" s="21" t="s">
        <v>738</v>
      </c>
    </row>
    <row r="2" customFormat="false" ht="37.5" hidden="false" customHeight="true" outlineLevel="0" collapsed="false">
      <c r="A2" s="22" t="s">
        <v>524</v>
      </c>
      <c r="B2" s="22" t="s">
        <v>619</v>
      </c>
      <c r="C2" s="22" t="s">
        <v>119</v>
      </c>
      <c r="D2" s="23" t="n">
        <v>300000000</v>
      </c>
      <c r="E2" s="27" t="s">
        <v>739</v>
      </c>
      <c r="F2" s="27" t="s">
        <v>740</v>
      </c>
    </row>
    <row r="3" customFormat="false" ht="37.5" hidden="false" customHeight="true" outlineLevel="0" collapsed="false">
      <c r="A3" s="22" t="s">
        <v>527</v>
      </c>
      <c r="B3" s="22" t="s">
        <v>623</v>
      </c>
      <c r="C3" s="22" t="s">
        <v>118</v>
      </c>
      <c r="D3" s="23" t="n">
        <v>920000000</v>
      </c>
      <c r="E3" s="27" t="s">
        <v>741</v>
      </c>
      <c r="F3" s="27" t="s">
        <v>742</v>
      </c>
    </row>
    <row r="4" customFormat="false" ht="37.5" hidden="false" customHeight="true" outlineLevel="0" collapsed="false">
      <c r="A4" s="22" t="s">
        <v>530</v>
      </c>
      <c r="B4" s="22" t="s">
        <v>625</v>
      </c>
      <c r="C4" s="22" t="s">
        <v>118</v>
      </c>
      <c r="D4" s="23" t="n">
        <v>975000000</v>
      </c>
      <c r="E4" s="27" t="s">
        <v>741</v>
      </c>
      <c r="F4" s="27" t="s">
        <v>742</v>
      </c>
    </row>
    <row r="5" customFormat="false" ht="37.5" hidden="false" customHeight="true" outlineLevel="0" collapsed="false">
      <c r="A5" s="22" t="s">
        <v>532</v>
      </c>
      <c r="B5" s="22" t="s">
        <v>627</v>
      </c>
      <c r="C5" s="22" t="s">
        <v>126</v>
      </c>
      <c r="D5" s="23" t="n">
        <v>50000000</v>
      </c>
      <c r="E5" s="27" t="s">
        <v>743</v>
      </c>
      <c r="F5" s="27" t="s">
        <v>740</v>
      </c>
    </row>
    <row r="6" customFormat="false" ht="37.5" hidden="false" customHeight="true" outlineLevel="0" collapsed="false">
      <c r="A6" s="22" t="s">
        <v>535</v>
      </c>
      <c r="B6" s="22" t="s">
        <v>630</v>
      </c>
      <c r="C6" s="22" t="s">
        <v>125</v>
      </c>
      <c r="D6" s="23" t="n">
        <v>450000000</v>
      </c>
      <c r="E6" s="27" t="s">
        <v>744</v>
      </c>
      <c r="F6" s="27" t="s">
        <v>745</v>
      </c>
    </row>
    <row r="7" customFormat="false" ht="37.5" hidden="false" customHeight="true" outlineLevel="0" collapsed="false">
      <c r="A7" s="22" t="s">
        <v>538</v>
      </c>
      <c r="B7" s="22" t="s">
        <v>632</v>
      </c>
      <c r="C7" s="22" t="s">
        <v>118</v>
      </c>
      <c r="D7" s="23" t="n">
        <v>900000000</v>
      </c>
      <c r="E7" s="27" t="s">
        <v>741</v>
      </c>
      <c r="F7" s="27" t="s">
        <v>742</v>
      </c>
    </row>
    <row r="8" customFormat="false" ht="37.5" hidden="false" customHeight="true" outlineLevel="0" collapsed="false">
      <c r="A8" s="22" t="s">
        <v>539</v>
      </c>
      <c r="B8" s="22" t="s">
        <v>634</v>
      </c>
      <c r="C8" s="22" t="s">
        <v>118</v>
      </c>
      <c r="D8" s="23" t="n">
        <v>850000000</v>
      </c>
      <c r="E8" s="27" t="s">
        <v>741</v>
      </c>
      <c r="F8" s="27" t="s">
        <v>742</v>
      </c>
    </row>
    <row r="9" customFormat="false" ht="37.5" hidden="false" customHeight="true" outlineLevel="0" collapsed="false">
      <c r="A9" s="22" t="s">
        <v>541</v>
      </c>
      <c r="B9" s="22" t="s">
        <v>636</v>
      </c>
      <c r="C9" s="22" t="s">
        <v>119</v>
      </c>
      <c r="D9" s="23" t="n">
        <v>300000000</v>
      </c>
      <c r="E9" s="27" t="s">
        <v>746</v>
      </c>
      <c r="F9" s="27" t="s">
        <v>747</v>
      </c>
    </row>
    <row r="10" customFormat="false" ht="37.5" hidden="false" customHeight="true" outlineLevel="0" collapsed="false">
      <c r="A10" s="22" t="s">
        <v>544</v>
      </c>
      <c r="B10" s="22" t="s">
        <v>638</v>
      </c>
      <c r="C10" s="22" t="s">
        <v>118</v>
      </c>
      <c r="D10" s="23" t="n">
        <v>950000000</v>
      </c>
      <c r="E10" s="27" t="s">
        <v>741</v>
      </c>
      <c r="F10" s="27" t="s">
        <v>742</v>
      </c>
    </row>
    <row r="11" customFormat="false" ht="37.5" hidden="false" customHeight="true" outlineLevel="0" collapsed="false">
      <c r="A11" s="22" t="s">
        <v>545</v>
      </c>
      <c r="B11" s="22" t="s">
        <v>640</v>
      </c>
      <c r="C11" s="22" t="s">
        <v>125</v>
      </c>
      <c r="D11" s="23" t="n">
        <v>200000000</v>
      </c>
      <c r="E11" s="27" t="s">
        <v>743</v>
      </c>
      <c r="F11" s="27" t="s">
        <v>740</v>
      </c>
    </row>
    <row r="12" customFormat="false" ht="37.5" hidden="false" customHeight="true" outlineLevel="0" collapsed="false">
      <c r="A12" s="22" t="s">
        <v>548</v>
      </c>
      <c r="B12" s="22" t="s">
        <v>642</v>
      </c>
      <c r="C12" s="22" t="s">
        <v>124</v>
      </c>
      <c r="D12" s="23" t="n">
        <v>350000000</v>
      </c>
      <c r="E12" s="27" t="s">
        <v>748</v>
      </c>
      <c r="F12" s="27" t="s">
        <v>749</v>
      </c>
    </row>
    <row r="13" customFormat="false" ht="37.5" hidden="false" customHeight="true" outlineLevel="0" collapsed="false">
      <c r="A13" s="22" t="s">
        <v>551</v>
      </c>
      <c r="B13" s="22" t="s">
        <v>644</v>
      </c>
      <c r="C13" s="22" t="s">
        <v>118</v>
      </c>
      <c r="D13" s="23" t="n">
        <v>550000000</v>
      </c>
      <c r="E13" s="27" t="s">
        <v>741</v>
      </c>
      <c r="F13" s="27" t="s">
        <v>742</v>
      </c>
    </row>
    <row r="14" customFormat="false" ht="37.5" hidden="false" customHeight="true" outlineLevel="0" collapsed="false">
      <c r="A14" s="22" t="s">
        <v>553</v>
      </c>
      <c r="B14" s="22" t="s">
        <v>646</v>
      </c>
      <c r="C14" s="22" t="s">
        <v>127</v>
      </c>
      <c r="D14" s="23" t="n">
        <v>250000000</v>
      </c>
      <c r="E14" s="27" t="s">
        <v>743</v>
      </c>
      <c r="F14" s="27" t="s">
        <v>740</v>
      </c>
    </row>
    <row r="15" customFormat="false" ht="24.75" hidden="false" customHeight="true" outlineLevel="0" collapsed="false">
      <c r="A15" s="22" t="s">
        <v>555</v>
      </c>
      <c r="B15" s="22" t="s">
        <v>648</v>
      </c>
      <c r="C15" s="22" t="s">
        <v>121</v>
      </c>
      <c r="D15" s="23" t="n">
        <v>260000000</v>
      </c>
      <c r="E15" s="27" t="s">
        <v>750</v>
      </c>
      <c r="F15" s="27" t="s">
        <v>751</v>
      </c>
    </row>
    <row r="16" customFormat="false" ht="24.75" hidden="false" customHeight="true" outlineLevel="0" collapsed="false">
      <c r="A16" s="22" t="s">
        <v>558</v>
      </c>
      <c r="B16" s="22" t="s">
        <v>650</v>
      </c>
      <c r="C16" s="22" t="s">
        <v>126</v>
      </c>
      <c r="D16" s="23" t="n">
        <v>420000000</v>
      </c>
      <c r="E16" s="27" t="s">
        <v>752</v>
      </c>
      <c r="F16" s="27" t="s">
        <v>753</v>
      </c>
    </row>
    <row r="17" customFormat="false" ht="37.5" hidden="false" customHeight="true" outlineLevel="0" collapsed="false">
      <c r="A17" s="22" t="s">
        <v>561</v>
      </c>
      <c r="B17" s="22" t="s">
        <v>652</v>
      </c>
      <c r="C17" s="22" t="s">
        <v>118</v>
      </c>
      <c r="D17" s="23" t="n">
        <v>750000000</v>
      </c>
      <c r="E17" s="27" t="s">
        <v>741</v>
      </c>
      <c r="F17" s="27" t="s">
        <v>742</v>
      </c>
    </row>
    <row r="18" customFormat="false" ht="24.75" hidden="false" customHeight="true" outlineLevel="0" collapsed="false">
      <c r="A18" s="22" t="s">
        <v>563</v>
      </c>
      <c r="B18" s="22" t="s">
        <v>654</v>
      </c>
      <c r="C18" s="22" t="s">
        <v>127</v>
      </c>
      <c r="D18" s="23" t="n">
        <v>280000000</v>
      </c>
      <c r="E18" s="27" t="s">
        <v>754</v>
      </c>
      <c r="F18" s="27" t="s">
        <v>755</v>
      </c>
    </row>
    <row r="19" customFormat="false" ht="37.5" hidden="false" customHeight="true" outlineLevel="0" collapsed="false">
      <c r="A19" s="22" t="s">
        <v>566</v>
      </c>
      <c r="B19" s="22" t="s">
        <v>656</v>
      </c>
      <c r="C19" s="22" t="s">
        <v>118</v>
      </c>
      <c r="D19" s="23" t="n">
        <v>975000000</v>
      </c>
      <c r="E19" s="27" t="s">
        <v>741</v>
      </c>
      <c r="F19" s="27" t="s">
        <v>742</v>
      </c>
    </row>
    <row r="20" customFormat="false" ht="37.5" hidden="false" customHeight="true" outlineLevel="0" collapsed="false">
      <c r="A20" s="22" t="s">
        <v>567</v>
      </c>
      <c r="B20" s="22" t="s">
        <v>658</v>
      </c>
      <c r="C20" s="22" t="s">
        <v>119</v>
      </c>
      <c r="D20" s="23" t="n">
        <v>250000000</v>
      </c>
      <c r="E20" s="27" t="s">
        <v>743</v>
      </c>
      <c r="F20" s="27" t="s">
        <v>740</v>
      </c>
    </row>
    <row r="21" customFormat="false" ht="37.5" hidden="false" customHeight="true" outlineLevel="0" collapsed="false">
      <c r="A21" s="22" t="s">
        <v>570</v>
      </c>
      <c r="B21" s="22" t="s">
        <v>660</v>
      </c>
      <c r="C21" s="22" t="s">
        <v>118</v>
      </c>
      <c r="D21" s="23" t="n">
        <v>880000000</v>
      </c>
      <c r="E21" s="27" t="s">
        <v>741</v>
      </c>
      <c r="F21" s="27" t="s">
        <v>742</v>
      </c>
    </row>
    <row r="22" customFormat="false" ht="24.75" hidden="false" customHeight="true" outlineLevel="0" collapsed="false">
      <c r="A22" s="22" t="s">
        <v>572</v>
      </c>
      <c r="B22" s="22" t="s">
        <v>662</v>
      </c>
      <c r="C22" s="22" t="s">
        <v>120</v>
      </c>
      <c r="D22" s="23" t="n">
        <v>500000000</v>
      </c>
      <c r="E22" s="27" t="s">
        <v>756</v>
      </c>
      <c r="F22" s="27" t="s">
        <v>757</v>
      </c>
    </row>
    <row r="23" customFormat="false" ht="37.5" hidden="false" customHeight="true" outlineLevel="0" collapsed="false">
      <c r="A23" s="22" t="s">
        <v>575</v>
      </c>
      <c r="B23" s="22" t="s">
        <v>664</v>
      </c>
      <c r="C23" s="22" t="s">
        <v>123</v>
      </c>
      <c r="D23" s="23" t="n">
        <v>200000000</v>
      </c>
      <c r="E23" s="27" t="s">
        <v>743</v>
      </c>
      <c r="F23" s="27" t="s">
        <v>740</v>
      </c>
    </row>
    <row r="24" customFormat="false" ht="37.5" hidden="false" customHeight="true" outlineLevel="0" collapsed="false">
      <c r="A24" s="22" t="s">
        <v>578</v>
      </c>
      <c r="B24" s="22" t="s">
        <v>666</v>
      </c>
      <c r="C24" s="22" t="s">
        <v>118</v>
      </c>
      <c r="D24" s="23" t="n">
        <v>850000000</v>
      </c>
      <c r="E24" s="27" t="s">
        <v>741</v>
      </c>
      <c r="F24" s="27" t="s">
        <v>742</v>
      </c>
    </row>
    <row r="25" customFormat="false" ht="37.5" hidden="false" customHeight="true" outlineLevel="0" collapsed="false">
      <c r="A25" s="22" t="s">
        <v>580</v>
      </c>
      <c r="B25" s="22" t="s">
        <v>668</v>
      </c>
      <c r="C25" s="22" t="s">
        <v>118</v>
      </c>
      <c r="D25" s="23" t="n">
        <v>800000000</v>
      </c>
      <c r="E25" s="27" t="s">
        <v>741</v>
      </c>
      <c r="F25" s="27" t="s">
        <v>742</v>
      </c>
    </row>
    <row r="26" customFormat="false" ht="37.5" hidden="false" customHeight="true" outlineLevel="0" collapsed="false">
      <c r="A26" s="22" t="s">
        <v>582</v>
      </c>
      <c r="B26" s="22" t="s">
        <v>670</v>
      </c>
      <c r="C26" s="22" t="s">
        <v>121</v>
      </c>
      <c r="D26" s="23" t="n">
        <v>500000000</v>
      </c>
      <c r="E26" s="27" t="s">
        <v>758</v>
      </c>
      <c r="F26" s="27" t="s">
        <v>759</v>
      </c>
    </row>
    <row r="27" customFormat="false" ht="37.5" hidden="false" customHeight="true" outlineLevel="0" collapsed="false">
      <c r="A27" s="22" t="s">
        <v>584</v>
      </c>
      <c r="B27" s="22" t="s">
        <v>672</v>
      </c>
      <c r="C27" s="22" t="s">
        <v>118</v>
      </c>
      <c r="D27" s="23" t="n">
        <v>500000000</v>
      </c>
      <c r="E27" s="27" t="s">
        <v>743</v>
      </c>
      <c r="F27" s="27" t="s">
        <v>740</v>
      </c>
    </row>
    <row r="28" customFormat="false" ht="37.5" hidden="false" customHeight="true" outlineLevel="0" collapsed="false">
      <c r="A28" s="22" t="s">
        <v>586</v>
      </c>
      <c r="B28" s="22" t="s">
        <v>674</v>
      </c>
      <c r="C28" s="22" t="s">
        <v>118</v>
      </c>
      <c r="D28" s="23" t="n">
        <v>850000000</v>
      </c>
      <c r="E28" s="27" t="s">
        <v>741</v>
      </c>
      <c r="F28" s="27" t="s">
        <v>742</v>
      </c>
    </row>
    <row r="29" customFormat="false" ht="24.75" hidden="false" customHeight="true" outlineLevel="0" collapsed="false">
      <c r="A29" s="22" t="s">
        <v>588</v>
      </c>
      <c r="B29" s="22" t="s">
        <v>675</v>
      </c>
      <c r="C29" s="22" t="s">
        <v>119</v>
      </c>
      <c r="D29" s="23" t="n">
        <v>300000000</v>
      </c>
      <c r="E29" s="27" t="s">
        <v>760</v>
      </c>
      <c r="F29" s="27" t="s">
        <v>761</v>
      </c>
    </row>
    <row r="30" customFormat="false" ht="37.5" hidden="false" customHeight="true" outlineLevel="0" collapsed="false">
      <c r="A30" s="22" t="s">
        <v>591</v>
      </c>
      <c r="B30" s="22" t="s">
        <v>676</v>
      </c>
      <c r="C30" s="22" t="s">
        <v>122</v>
      </c>
      <c r="D30" s="23" t="n">
        <v>300000000</v>
      </c>
      <c r="E30" s="27" t="s">
        <v>743</v>
      </c>
      <c r="F30" s="27" t="s">
        <v>740</v>
      </c>
    </row>
    <row r="31" customFormat="false" ht="37.5" hidden="false" customHeight="true" outlineLevel="0" collapsed="false">
      <c r="A31" s="22" t="s">
        <v>593</v>
      </c>
      <c r="B31" s="22" t="s">
        <v>677</v>
      </c>
      <c r="C31" s="22" t="s">
        <v>118</v>
      </c>
      <c r="D31" s="23" t="n">
        <v>975000000</v>
      </c>
      <c r="E31" s="27" t="s">
        <v>741</v>
      </c>
      <c r="F31" s="27" t="s">
        <v>742</v>
      </c>
    </row>
    <row r="32" customFormat="false" ht="24.75" hidden="false" customHeight="true" outlineLevel="0" collapsed="false">
      <c r="A32" s="22" t="s">
        <v>595</v>
      </c>
      <c r="B32" s="22" t="s">
        <v>679</v>
      </c>
      <c r="C32" s="22" t="s">
        <v>122</v>
      </c>
      <c r="D32" s="23" t="n">
        <v>450000000</v>
      </c>
      <c r="E32" s="27" t="s">
        <v>762</v>
      </c>
      <c r="F32" s="27" t="s">
        <v>763</v>
      </c>
    </row>
    <row r="33" customFormat="false" ht="37.5" hidden="false" customHeight="true" outlineLevel="0" collapsed="false">
      <c r="A33" s="22" t="s">
        <v>598</v>
      </c>
      <c r="B33" s="22" t="s">
        <v>681</v>
      </c>
      <c r="C33" s="22" t="s">
        <v>124</v>
      </c>
      <c r="D33" s="23" t="n">
        <v>300000000</v>
      </c>
      <c r="E33" s="27" t="s">
        <v>743</v>
      </c>
      <c r="F33" s="27" t="s">
        <v>740</v>
      </c>
    </row>
    <row r="34" customFormat="false" ht="37.5" hidden="false" customHeight="true" outlineLevel="0" collapsed="false">
      <c r="A34" s="22" t="s">
        <v>601</v>
      </c>
      <c r="B34" s="22" t="s">
        <v>683</v>
      </c>
      <c r="C34" s="22" t="s">
        <v>120</v>
      </c>
      <c r="D34" s="23" t="n">
        <v>250000000</v>
      </c>
      <c r="E34" s="27" t="s">
        <v>764</v>
      </c>
      <c r="F34" s="27" t="s">
        <v>765</v>
      </c>
    </row>
    <row r="35" customFormat="false" ht="37.5" hidden="false" customHeight="true" outlineLevel="0" collapsed="false">
      <c r="A35" s="22" t="s">
        <v>604</v>
      </c>
      <c r="B35" s="22" t="s">
        <v>685</v>
      </c>
      <c r="C35" s="22" t="s">
        <v>118</v>
      </c>
      <c r="D35" s="23" t="n">
        <v>825000000</v>
      </c>
      <c r="E35" s="27" t="s">
        <v>741</v>
      </c>
      <c r="F35" s="27" t="s">
        <v>742</v>
      </c>
    </row>
    <row r="36" customFormat="false" ht="37.5" hidden="false" customHeight="true" outlineLevel="0" collapsed="false">
      <c r="A36" s="22" t="s">
        <v>606</v>
      </c>
      <c r="B36" s="22" t="s">
        <v>686</v>
      </c>
      <c r="C36" s="22" t="s">
        <v>118</v>
      </c>
      <c r="D36" s="23" t="n">
        <v>950000000</v>
      </c>
      <c r="E36" s="27" t="s">
        <v>741</v>
      </c>
      <c r="F36" s="27" t="s">
        <v>742</v>
      </c>
    </row>
    <row r="37" customFormat="false" ht="37.5" hidden="false" customHeight="true" outlineLevel="0" collapsed="false">
      <c r="A37" s="22" t="s">
        <v>608</v>
      </c>
      <c r="B37" s="22" t="s">
        <v>688</v>
      </c>
      <c r="C37" s="22" t="s">
        <v>120</v>
      </c>
      <c r="D37" s="23" t="n">
        <v>150000000</v>
      </c>
      <c r="E37" s="27" t="s">
        <v>743</v>
      </c>
      <c r="F37" s="27" t="s">
        <v>740</v>
      </c>
    </row>
    <row r="38" customFormat="false" ht="24.75" hidden="false" customHeight="true" outlineLevel="0" collapsed="false">
      <c r="A38" s="22" t="s">
        <v>611</v>
      </c>
      <c r="B38" s="22" t="s">
        <v>690</v>
      </c>
      <c r="C38" s="22" t="s">
        <v>123</v>
      </c>
      <c r="D38" s="23" t="n">
        <v>520000000</v>
      </c>
      <c r="E38" s="27" t="s">
        <v>766</v>
      </c>
      <c r="F38" s="27" t="s">
        <v>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5" min="14" style="0" width="16"/>
  </cols>
  <sheetData>
    <row r="1" customFormat="false" ht="25.5" hidden="false" customHeight="true" outlineLevel="0" collapsed="false">
      <c r="A1" s="21" t="s">
        <v>304</v>
      </c>
      <c r="B1" s="21" t="s">
        <v>520</v>
      </c>
      <c r="C1" s="21" t="s">
        <v>521</v>
      </c>
      <c r="D1" s="21" t="s">
        <v>91</v>
      </c>
      <c r="E1" s="21" t="s">
        <v>522</v>
      </c>
      <c r="F1" s="21" t="s">
        <v>768</v>
      </c>
      <c r="G1" s="21" t="s">
        <v>769</v>
      </c>
      <c r="H1" s="21" t="s">
        <v>95</v>
      </c>
      <c r="I1" s="21" t="s">
        <v>58</v>
      </c>
      <c r="J1" s="21" t="s">
        <v>614</v>
      </c>
      <c r="K1" s="21" t="s">
        <v>615</v>
      </c>
      <c r="L1" s="21" t="s">
        <v>137</v>
      </c>
      <c r="N1" s="28" t="s">
        <v>770</v>
      </c>
      <c r="O1" s="28" t="s">
        <v>3</v>
      </c>
    </row>
    <row r="2" customFormat="false" ht="14.25" hidden="false" customHeight="false" outlineLevel="0" collapsed="false">
      <c r="A2" s="22" t="n">
        <v>1</v>
      </c>
      <c r="B2" s="22" t="s">
        <v>771</v>
      </c>
      <c r="C2" s="22" t="s">
        <v>772</v>
      </c>
      <c r="D2" s="22" t="s">
        <v>133</v>
      </c>
      <c r="E2" s="22" t="s">
        <v>526</v>
      </c>
      <c r="F2" s="22" t="s">
        <v>314</v>
      </c>
      <c r="G2" s="22" t="s">
        <v>773</v>
      </c>
      <c r="H2" s="22" t="s">
        <v>312</v>
      </c>
      <c r="I2" s="22" t="s">
        <v>313</v>
      </c>
      <c r="J2" s="23" t="n">
        <v>650000000</v>
      </c>
      <c r="K2" s="22" t="s">
        <v>620</v>
      </c>
      <c r="L2" s="22" t="s">
        <v>774</v>
      </c>
      <c r="N2" s="29" t="s">
        <v>775</v>
      </c>
      <c r="O2" s="30" t="n">
        <f aca="false">SUM(J2:J41)</f>
        <v>26930000000</v>
      </c>
    </row>
    <row r="3" customFormat="false" ht="14.25" hidden="false" customHeight="false" outlineLevel="0" collapsed="false">
      <c r="A3" s="22" t="n">
        <v>2</v>
      </c>
      <c r="B3" s="22" t="s">
        <v>776</v>
      </c>
      <c r="C3" s="22" t="s">
        <v>777</v>
      </c>
      <c r="D3" s="22" t="s">
        <v>134</v>
      </c>
      <c r="E3" s="22" t="s">
        <v>529</v>
      </c>
      <c r="F3" s="22" t="s">
        <v>321</v>
      </c>
      <c r="G3" s="22" t="s">
        <v>778</v>
      </c>
      <c r="H3" s="22" t="s">
        <v>319</v>
      </c>
      <c r="I3" s="22" t="s">
        <v>320</v>
      </c>
      <c r="J3" s="23" t="n">
        <v>720000000</v>
      </c>
      <c r="K3" s="22" t="s">
        <v>620</v>
      </c>
      <c r="L3" s="22" t="s">
        <v>774</v>
      </c>
    </row>
    <row r="4" customFormat="false" ht="14.25" hidden="false" customHeight="false" outlineLevel="0" collapsed="false">
      <c r="A4" s="22" t="n">
        <v>3</v>
      </c>
      <c r="B4" s="22" t="s">
        <v>779</v>
      </c>
      <c r="C4" s="22" t="s">
        <v>780</v>
      </c>
      <c r="D4" s="22" t="s">
        <v>133</v>
      </c>
      <c r="E4" s="22" t="s">
        <v>526</v>
      </c>
      <c r="F4" s="22" t="s">
        <v>328</v>
      </c>
      <c r="G4" s="22" t="s">
        <v>781</v>
      </c>
      <c r="H4" s="22" t="s">
        <v>326</v>
      </c>
      <c r="I4" s="22" t="s">
        <v>327</v>
      </c>
      <c r="J4" s="23" t="n">
        <v>540000000</v>
      </c>
      <c r="K4" s="22" t="s">
        <v>620</v>
      </c>
      <c r="L4" s="22" t="s">
        <v>774</v>
      </c>
    </row>
    <row r="5" customFormat="false" ht="14.25" hidden="false" customHeight="false" outlineLevel="0" collapsed="false">
      <c r="A5" s="22" t="n">
        <v>4</v>
      </c>
      <c r="B5" s="22" t="s">
        <v>782</v>
      </c>
      <c r="C5" s="22" t="s">
        <v>783</v>
      </c>
      <c r="D5" s="22" t="s">
        <v>134</v>
      </c>
      <c r="E5" s="22" t="s">
        <v>529</v>
      </c>
      <c r="F5" s="22" t="s">
        <v>335</v>
      </c>
      <c r="G5" s="22" t="s">
        <v>784</v>
      </c>
      <c r="H5" s="22" t="s">
        <v>333</v>
      </c>
      <c r="I5" s="22" t="s">
        <v>334</v>
      </c>
      <c r="J5" s="23" t="n">
        <v>800000000</v>
      </c>
      <c r="K5" s="22" t="s">
        <v>620</v>
      </c>
      <c r="L5" s="22" t="s">
        <v>774</v>
      </c>
    </row>
    <row r="6" customFormat="false" ht="14.25" hidden="false" customHeight="false" outlineLevel="0" collapsed="false">
      <c r="A6" s="22" t="n">
        <v>5</v>
      </c>
      <c r="B6" s="22" t="s">
        <v>785</v>
      </c>
      <c r="C6" s="22" t="s">
        <v>525</v>
      </c>
      <c r="D6" s="22" t="s">
        <v>133</v>
      </c>
      <c r="E6" s="22" t="s">
        <v>526</v>
      </c>
      <c r="F6" s="22" t="s">
        <v>341</v>
      </c>
      <c r="G6" s="22" t="s">
        <v>786</v>
      </c>
      <c r="H6" s="22" t="s">
        <v>339</v>
      </c>
      <c r="I6" s="22" t="s">
        <v>340</v>
      </c>
      <c r="J6" s="23" t="n">
        <v>610000000</v>
      </c>
      <c r="K6" s="22" t="s">
        <v>620</v>
      </c>
      <c r="L6" s="22" t="s">
        <v>774</v>
      </c>
    </row>
    <row r="7" customFormat="false" ht="14.25" hidden="false" customHeight="false" outlineLevel="0" collapsed="false">
      <c r="A7" s="22" t="n">
        <v>6</v>
      </c>
      <c r="B7" s="22" t="s">
        <v>787</v>
      </c>
      <c r="C7" s="22" t="s">
        <v>394</v>
      </c>
      <c r="D7" s="22" t="s">
        <v>134</v>
      </c>
      <c r="E7" s="22" t="s">
        <v>529</v>
      </c>
      <c r="F7" s="22" t="s">
        <v>347</v>
      </c>
      <c r="G7" s="22" t="s">
        <v>788</v>
      </c>
      <c r="H7" s="22" t="s">
        <v>345</v>
      </c>
      <c r="I7" s="22" t="s">
        <v>346</v>
      </c>
      <c r="J7" s="23" t="n">
        <v>700000000</v>
      </c>
      <c r="K7" s="22" t="s">
        <v>620</v>
      </c>
      <c r="L7" s="22" t="s">
        <v>774</v>
      </c>
    </row>
    <row r="8" customFormat="false" ht="14.25" hidden="false" customHeight="false" outlineLevel="0" collapsed="false">
      <c r="A8" s="22" t="n">
        <v>7</v>
      </c>
      <c r="B8" s="22" t="s">
        <v>789</v>
      </c>
      <c r="C8" s="22" t="s">
        <v>790</v>
      </c>
      <c r="D8" s="22" t="s">
        <v>133</v>
      </c>
      <c r="E8" s="22" t="s">
        <v>526</v>
      </c>
      <c r="F8" s="22" t="s">
        <v>352</v>
      </c>
      <c r="G8" s="22" t="s">
        <v>791</v>
      </c>
      <c r="H8" s="22" t="s">
        <v>350</v>
      </c>
      <c r="I8" s="22" t="s">
        <v>351</v>
      </c>
      <c r="J8" s="23" t="n">
        <v>560000000</v>
      </c>
      <c r="K8" s="22" t="s">
        <v>620</v>
      </c>
      <c r="L8" s="22" t="s">
        <v>774</v>
      </c>
    </row>
    <row r="9" customFormat="false" ht="14.25" hidden="false" customHeight="false" outlineLevel="0" collapsed="false">
      <c r="A9" s="22" t="n">
        <v>8</v>
      </c>
      <c r="B9" s="22" t="s">
        <v>792</v>
      </c>
      <c r="C9" s="22" t="s">
        <v>793</v>
      </c>
      <c r="D9" s="22" t="s">
        <v>134</v>
      </c>
      <c r="E9" s="22" t="s">
        <v>529</v>
      </c>
      <c r="F9" s="22" t="s">
        <v>357</v>
      </c>
      <c r="G9" s="22" t="s">
        <v>794</v>
      </c>
      <c r="H9" s="22" t="s">
        <v>355</v>
      </c>
      <c r="I9" s="22" t="s">
        <v>356</v>
      </c>
      <c r="J9" s="23" t="n">
        <v>750000000</v>
      </c>
      <c r="K9" s="22" t="s">
        <v>620</v>
      </c>
      <c r="L9" s="22" t="s">
        <v>774</v>
      </c>
    </row>
    <row r="10" customFormat="false" ht="14.25" hidden="false" customHeight="false" outlineLevel="0" collapsed="false">
      <c r="A10" s="22" t="n">
        <v>9</v>
      </c>
      <c r="B10" s="22" t="s">
        <v>795</v>
      </c>
      <c r="C10" s="22" t="s">
        <v>796</v>
      </c>
      <c r="D10" s="22" t="s">
        <v>133</v>
      </c>
      <c r="E10" s="22" t="s">
        <v>526</v>
      </c>
      <c r="F10" s="22" t="s">
        <v>362</v>
      </c>
      <c r="G10" s="22" t="s">
        <v>797</v>
      </c>
      <c r="H10" s="22" t="s">
        <v>360</v>
      </c>
      <c r="I10" s="22" t="s">
        <v>361</v>
      </c>
      <c r="J10" s="23" t="n">
        <v>630000000</v>
      </c>
      <c r="K10" s="22" t="s">
        <v>620</v>
      </c>
      <c r="L10" s="22" t="s">
        <v>774</v>
      </c>
    </row>
    <row r="11" customFormat="false" ht="14.25" hidden="false" customHeight="false" outlineLevel="0" collapsed="false">
      <c r="A11" s="22" t="n">
        <v>10</v>
      </c>
      <c r="B11" s="22" t="s">
        <v>798</v>
      </c>
      <c r="C11" s="22" t="s">
        <v>799</v>
      </c>
      <c r="D11" s="22" t="s">
        <v>134</v>
      </c>
      <c r="E11" s="22" t="s">
        <v>529</v>
      </c>
      <c r="F11" s="22" t="s">
        <v>367</v>
      </c>
      <c r="G11" s="22" t="s">
        <v>800</v>
      </c>
      <c r="H11" s="22" t="s">
        <v>365</v>
      </c>
      <c r="I11" s="22" t="s">
        <v>366</v>
      </c>
      <c r="J11" s="23" t="n">
        <v>890000000</v>
      </c>
      <c r="K11" s="22" t="s">
        <v>620</v>
      </c>
      <c r="L11" s="22" t="s">
        <v>774</v>
      </c>
    </row>
    <row r="12" customFormat="false" ht="14.25" hidden="false" customHeight="false" outlineLevel="0" collapsed="false">
      <c r="A12" s="22" t="n">
        <v>11</v>
      </c>
      <c r="B12" s="22" t="s">
        <v>801</v>
      </c>
      <c r="C12" s="22" t="s">
        <v>413</v>
      </c>
      <c r="D12" s="22" t="s">
        <v>133</v>
      </c>
      <c r="E12" s="22" t="s">
        <v>526</v>
      </c>
      <c r="F12" s="22" t="s">
        <v>372</v>
      </c>
      <c r="G12" s="22" t="s">
        <v>802</v>
      </c>
      <c r="H12" s="22" t="s">
        <v>370</v>
      </c>
      <c r="I12" s="22" t="s">
        <v>371</v>
      </c>
      <c r="J12" s="23" t="n">
        <v>700000000</v>
      </c>
      <c r="K12" s="22" t="s">
        <v>620</v>
      </c>
      <c r="L12" s="22" t="s">
        <v>774</v>
      </c>
    </row>
    <row r="13" customFormat="false" ht="14.25" hidden="false" customHeight="false" outlineLevel="0" collapsed="false">
      <c r="A13" s="22" t="n">
        <v>12</v>
      </c>
      <c r="B13" s="22" t="s">
        <v>803</v>
      </c>
      <c r="C13" s="22" t="s">
        <v>353</v>
      </c>
      <c r="D13" s="22" t="s">
        <v>134</v>
      </c>
      <c r="E13" s="22" t="s">
        <v>529</v>
      </c>
      <c r="F13" s="22" t="s">
        <v>377</v>
      </c>
      <c r="G13" s="22" t="s">
        <v>804</v>
      </c>
      <c r="H13" s="22" t="s">
        <v>375</v>
      </c>
      <c r="I13" s="22" t="s">
        <v>376</v>
      </c>
      <c r="J13" s="23" t="n">
        <v>500000000</v>
      </c>
      <c r="K13" s="22" t="s">
        <v>620</v>
      </c>
      <c r="L13" s="22" t="s">
        <v>774</v>
      </c>
    </row>
    <row r="14" customFormat="false" ht="14.25" hidden="false" customHeight="false" outlineLevel="0" collapsed="false">
      <c r="A14" s="22" t="n">
        <v>13</v>
      </c>
      <c r="B14" s="22" t="s">
        <v>805</v>
      </c>
      <c r="C14" s="22" t="s">
        <v>806</v>
      </c>
      <c r="D14" s="22" t="s">
        <v>133</v>
      </c>
      <c r="E14" s="22" t="s">
        <v>526</v>
      </c>
      <c r="F14" s="22" t="s">
        <v>382</v>
      </c>
      <c r="G14" s="22" t="s">
        <v>807</v>
      </c>
      <c r="H14" s="22" t="s">
        <v>380</v>
      </c>
      <c r="I14" s="22" t="s">
        <v>381</v>
      </c>
      <c r="J14" s="23" t="n">
        <v>650000000</v>
      </c>
      <c r="K14" s="22" t="s">
        <v>620</v>
      </c>
      <c r="L14" s="22" t="s">
        <v>774</v>
      </c>
    </row>
    <row r="15" customFormat="false" ht="14.25" hidden="false" customHeight="false" outlineLevel="0" collapsed="false">
      <c r="A15" s="22" t="n">
        <v>14</v>
      </c>
      <c r="B15" s="22" t="s">
        <v>808</v>
      </c>
      <c r="C15" s="22" t="s">
        <v>358</v>
      </c>
      <c r="D15" s="22" t="s">
        <v>134</v>
      </c>
      <c r="E15" s="22" t="s">
        <v>529</v>
      </c>
      <c r="F15" s="22" t="s">
        <v>387</v>
      </c>
      <c r="G15" s="22" t="s">
        <v>809</v>
      </c>
      <c r="H15" s="22" t="s">
        <v>385</v>
      </c>
      <c r="I15" s="22" t="s">
        <v>386</v>
      </c>
      <c r="J15" s="23" t="n">
        <v>600000000</v>
      </c>
      <c r="K15" s="22" t="s">
        <v>620</v>
      </c>
      <c r="L15" s="22" t="s">
        <v>774</v>
      </c>
    </row>
    <row r="16" customFormat="false" ht="14.25" hidden="false" customHeight="false" outlineLevel="0" collapsed="false">
      <c r="A16" s="22" t="n">
        <v>15</v>
      </c>
      <c r="B16" s="22" t="s">
        <v>810</v>
      </c>
      <c r="C16" s="22" t="s">
        <v>811</v>
      </c>
      <c r="D16" s="22" t="s">
        <v>133</v>
      </c>
      <c r="E16" s="22" t="s">
        <v>526</v>
      </c>
      <c r="F16" s="22" t="s">
        <v>392</v>
      </c>
      <c r="G16" s="22" t="s">
        <v>812</v>
      </c>
      <c r="H16" s="22" t="s">
        <v>390</v>
      </c>
      <c r="I16" s="22" t="s">
        <v>391</v>
      </c>
      <c r="J16" s="23" t="n">
        <v>800000000</v>
      </c>
      <c r="K16" s="22" t="s">
        <v>620</v>
      </c>
      <c r="L16" s="22" t="s">
        <v>774</v>
      </c>
    </row>
    <row r="17" customFormat="false" ht="14.25" hidden="false" customHeight="false" outlineLevel="0" collapsed="false">
      <c r="A17" s="22" t="n">
        <v>16</v>
      </c>
      <c r="B17" s="22" t="s">
        <v>813</v>
      </c>
      <c r="C17" s="22" t="s">
        <v>814</v>
      </c>
      <c r="D17" s="22" t="s">
        <v>134</v>
      </c>
      <c r="E17" s="22" t="s">
        <v>529</v>
      </c>
      <c r="F17" s="22" t="s">
        <v>397</v>
      </c>
      <c r="G17" s="22" t="s">
        <v>815</v>
      </c>
      <c r="H17" s="22" t="s">
        <v>395</v>
      </c>
      <c r="I17" s="22" t="s">
        <v>396</v>
      </c>
      <c r="J17" s="23" t="n">
        <v>520000000</v>
      </c>
      <c r="K17" s="22" t="s">
        <v>620</v>
      </c>
      <c r="L17" s="22" t="s">
        <v>774</v>
      </c>
    </row>
    <row r="18" customFormat="false" ht="14.25" hidden="false" customHeight="false" outlineLevel="0" collapsed="false">
      <c r="A18" s="22" t="n">
        <v>17</v>
      </c>
      <c r="B18" s="22" t="s">
        <v>816</v>
      </c>
      <c r="C18" s="22" t="s">
        <v>817</v>
      </c>
      <c r="D18" s="22" t="s">
        <v>133</v>
      </c>
      <c r="E18" s="22" t="s">
        <v>526</v>
      </c>
      <c r="F18" s="22" t="s">
        <v>402</v>
      </c>
      <c r="G18" s="22" t="s">
        <v>818</v>
      </c>
      <c r="H18" s="22" t="s">
        <v>400</v>
      </c>
      <c r="I18" s="22" t="s">
        <v>401</v>
      </c>
      <c r="J18" s="23" t="n">
        <v>750000000</v>
      </c>
      <c r="K18" s="22" t="s">
        <v>620</v>
      </c>
      <c r="L18" s="22" t="s">
        <v>774</v>
      </c>
    </row>
    <row r="19" customFormat="false" ht="14.25" hidden="false" customHeight="false" outlineLevel="0" collapsed="false">
      <c r="A19" s="22" t="n">
        <v>18</v>
      </c>
      <c r="B19" s="22" t="s">
        <v>819</v>
      </c>
      <c r="C19" s="22" t="s">
        <v>820</v>
      </c>
      <c r="D19" s="22" t="s">
        <v>134</v>
      </c>
      <c r="E19" s="22" t="s">
        <v>529</v>
      </c>
      <c r="F19" s="22" t="s">
        <v>407</v>
      </c>
      <c r="G19" s="22" t="s">
        <v>821</v>
      </c>
      <c r="H19" s="22" t="s">
        <v>405</v>
      </c>
      <c r="I19" s="22" t="s">
        <v>406</v>
      </c>
      <c r="J19" s="23" t="n">
        <v>650000000</v>
      </c>
      <c r="K19" s="22" t="s">
        <v>620</v>
      </c>
      <c r="L19" s="22" t="s">
        <v>774</v>
      </c>
    </row>
    <row r="20" customFormat="false" ht="14.25" hidden="false" customHeight="false" outlineLevel="0" collapsed="false">
      <c r="A20" s="22" t="n">
        <v>19</v>
      </c>
      <c r="B20" s="22" t="s">
        <v>822</v>
      </c>
      <c r="C20" s="22" t="s">
        <v>823</v>
      </c>
      <c r="D20" s="22" t="s">
        <v>133</v>
      </c>
      <c r="E20" s="22" t="s">
        <v>526</v>
      </c>
      <c r="F20" s="22" t="s">
        <v>412</v>
      </c>
      <c r="G20" s="22" t="s">
        <v>824</v>
      </c>
      <c r="H20" s="22" t="s">
        <v>410</v>
      </c>
      <c r="I20" s="22" t="s">
        <v>411</v>
      </c>
      <c r="J20" s="23" t="n">
        <v>600000000</v>
      </c>
      <c r="K20" s="22" t="s">
        <v>620</v>
      </c>
      <c r="L20" s="22" t="s">
        <v>774</v>
      </c>
    </row>
    <row r="21" customFormat="false" ht="14.25" hidden="false" customHeight="false" outlineLevel="0" collapsed="false">
      <c r="A21" s="22" t="n">
        <v>20</v>
      </c>
      <c r="B21" s="22" t="s">
        <v>825</v>
      </c>
      <c r="C21" s="22" t="s">
        <v>826</v>
      </c>
      <c r="D21" s="22" t="s">
        <v>134</v>
      </c>
      <c r="E21" s="22" t="s">
        <v>529</v>
      </c>
      <c r="F21" s="22" t="s">
        <v>417</v>
      </c>
      <c r="G21" s="22" t="s">
        <v>827</v>
      </c>
      <c r="H21" s="22" t="s">
        <v>415</v>
      </c>
      <c r="I21" s="22" t="s">
        <v>416</v>
      </c>
      <c r="J21" s="23" t="n">
        <v>540000000</v>
      </c>
      <c r="K21" s="22" t="s">
        <v>620</v>
      </c>
      <c r="L21" s="22" t="s">
        <v>774</v>
      </c>
    </row>
    <row r="22" customFormat="false" ht="14.25" hidden="false" customHeight="false" outlineLevel="0" collapsed="false">
      <c r="A22" s="22" t="n">
        <v>21</v>
      </c>
      <c r="B22" s="22" t="s">
        <v>828</v>
      </c>
      <c r="C22" s="22" t="s">
        <v>379</v>
      </c>
      <c r="D22" s="22" t="s">
        <v>133</v>
      </c>
      <c r="E22" s="22" t="s">
        <v>526</v>
      </c>
      <c r="F22" s="22" t="s">
        <v>422</v>
      </c>
      <c r="G22" s="22" t="s">
        <v>829</v>
      </c>
      <c r="H22" s="22" t="s">
        <v>420</v>
      </c>
      <c r="I22" s="22" t="s">
        <v>421</v>
      </c>
      <c r="J22" s="23" t="n">
        <v>720000000</v>
      </c>
      <c r="K22" s="22" t="s">
        <v>620</v>
      </c>
      <c r="L22" s="22" t="s">
        <v>774</v>
      </c>
    </row>
    <row r="23" customFormat="false" ht="14.25" hidden="false" customHeight="false" outlineLevel="0" collapsed="false">
      <c r="A23" s="22" t="n">
        <v>22</v>
      </c>
      <c r="B23" s="22" t="s">
        <v>830</v>
      </c>
      <c r="C23" s="22" t="s">
        <v>443</v>
      </c>
      <c r="D23" s="22" t="s">
        <v>134</v>
      </c>
      <c r="E23" s="22" t="s">
        <v>529</v>
      </c>
      <c r="F23" s="22" t="s">
        <v>427</v>
      </c>
      <c r="G23" s="22" t="s">
        <v>831</v>
      </c>
      <c r="H23" s="22" t="s">
        <v>425</v>
      </c>
      <c r="I23" s="22" t="s">
        <v>426</v>
      </c>
      <c r="J23" s="23" t="n">
        <v>550000000</v>
      </c>
      <c r="K23" s="22" t="s">
        <v>620</v>
      </c>
      <c r="L23" s="22" t="s">
        <v>774</v>
      </c>
    </row>
    <row r="24" customFormat="false" ht="14.25" hidden="false" customHeight="false" outlineLevel="0" collapsed="false">
      <c r="A24" s="22" t="n">
        <v>23</v>
      </c>
      <c r="B24" s="22" t="s">
        <v>832</v>
      </c>
      <c r="C24" s="22" t="s">
        <v>833</v>
      </c>
      <c r="D24" s="22" t="s">
        <v>133</v>
      </c>
      <c r="E24" s="22" t="s">
        <v>526</v>
      </c>
      <c r="F24" s="22" t="s">
        <v>432</v>
      </c>
      <c r="G24" s="22" t="s">
        <v>834</v>
      </c>
      <c r="H24" s="22" t="s">
        <v>430</v>
      </c>
      <c r="I24" s="22" t="s">
        <v>431</v>
      </c>
      <c r="J24" s="23" t="n">
        <v>680000000</v>
      </c>
      <c r="K24" s="22" t="s">
        <v>620</v>
      </c>
      <c r="L24" s="22" t="s">
        <v>774</v>
      </c>
    </row>
    <row r="25" customFormat="false" ht="14.25" hidden="false" customHeight="false" outlineLevel="0" collapsed="false">
      <c r="A25" s="22" t="n">
        <v>24</v>
      </c>
      <c r="B25" s="22" t="s">
        <v>835</v>
      </c>
      <c r="C25" s="22" t="s">
        <v>836</v>
      </c>
      <c r="D25" s="22" t="s">
        <v>134</v>
      </c>
      <c r="E25" s="22" t="s">
        <v>529</v>
      </c>
      <c r="F25" s="22" t="s">
        <v>437</v>
      </c>
      <c r="G25" s="22" t="s">
        <v>837</v>
      </c>
      <c r="H25" s="22" t="s">
        <v>435</v>
      </c>
      <c r="I25" s="22" t="s">
        <v>436</v>
      </c>
      <c r="J25" s="23" t="n">
        <v>560000000</v>
      </c>
      <c r="K25" s="22" t="s">
        <v>620</v>
      </c>
      <c r="L25" s="22" t="s">
        <v>774</v>
      </c>
    </row>
    <row r="26" customFormat="false" ht="14.25" hidden="false" customHeight="false" outlineLevel="0" collapsed="false">
      <c r="A26" s="22" t="n">
        <v>25</v>
      </c>
      <c r="B26" s="22" t="s">
        <v>838</v>
      </c>
      <c r="C26" s="22" t="s">
        <v>839</v>
      </c>
      <c r="D26" s="22" t="s">
        <v>133</v>
      </c>
      <c r="E26" s="22" t="s">
        <v>526</v>
      </c>
      <c r="F26" s="22" t="s">
        <v>442</v>
      </c>
      <c r="G26" s="22" t="s">
        <v>840</v>
      </c>
      <c r="H26" s="22" t="s">
        <v>440</v>
      </c>
      <c r="I26" s="22" t="s">
        <v>441</v>
      </c>
      <c r="J26" s="23" t="n">
        <v>900000000</v>
      </c>
      <c r="K26" s="22" t="s">
        <v>620</v>
      </c>
      <c r="L26" s="22" t="s">
        <v>774</v>
      </c>
    </row>
    <row r="27" customFormat="false" ht="14.25" hidden="false" customHeight="false" outlineLevel="0" collapsed="false">
      <c r="A27" s="22" t="n">
        <v>26</v>
      </c>
      <c r="B27" s="22" t="s">
        <v>841</v>
      </c>
      <c r="C27" s="22" t="s">
        <v>842</v>
      </c>
      <c r="D27" s="22" t="s">
        <v>134</v>
      </c>
      <c r="E27" s="22" t="s">
        <v>529</v>
      </c>
      <c r="F27" s="22" t="s">
        <v>447</v>
      </c>
      <c r="G27" s="22" t="s">
        <v>843</v>
      </c>
      <c r="H27" s="22" t="s">
        <v>445</v>
      </c>
      <c r="I27" s="22" t="s">
        <v>446</v>
      </c>
      <c r="J27" s="23" t="n">
        <v>700000000</v>
      </c>
      <c r="K27" s="22" t="s">
        <v>620</v>
      </c>
      <c r="L27" s="22" t="s">
        <v>774</v>
      </c>
    </row>
    <row r="28" customFormat="false" ht="14.25" hidden="false" customHeight="false" outlineLevel="0" collapsed="false">
      <c r="A28" s="22" t="n">
        <v>27</v>
      </c>
      <c r="B28" s="22" t="s">
        <v>844</v>
      </c>
      <c r="C28" s="22" t="s">
        <v>845</v>
      </c>
      <c r="D28" s="22" t="s">
        <v>133</v>
      </c>
      <c r="E28" s="22" t="s">
        <v>526</v>
      </c>
      <c r="F28" s="22" t="s">
        <v>452</v>
      </c>
      <c r="G28" s="22" t="s">
        <v>846</v>
      </c>
      <c r="H28" s="22" t="s">
        <v>450</v>
      </c>
      <c r="I28" s="22" t="s">
        <v>451</v>
      </c>
      <c r="J28" s="23" t="n">
        <v>550000000</v>
      </c>
      <c r="K28" s="22" t="s">
        <v>620</v>
      </c>
      <c r="L28" s="22" t="s">
        <v>774</v>
      </c>
    </row>
    <row r="29" customFormat="false" ht="14.25" hidden="false" customHeight="false" outlineLevel="0" collapsed="false">
      <c r="A29" s="22" t="n">
        <v>28</v>
      </c>
      <c r="B29" s="22" t="s">
        <v>847</v>
      </c>
      <c r="C29" s="22" t="s">
        <v>848</v>
      </c>
      <c r="D29" s="22" t="s">
        <v>134</v>
      </c>
      <c r="E29" s="22" t="s">
        <v>529</v>
      </c>
      <c r="F29" s="22" t="s">
        <v>457</v>
      </c>
      <c r="G29" s="22" t="s">
        <v>849</v>
      </c>
      <c r="H29" s="22" t="s">
        <v>455</v>
      </c>
      <c r="I29" s="22" t="s">
        <v>456</v>
      </c>
      <c r="J29" s="23" t="n">
        <v>580000000</v>
      </c>
      <c r="K29" s="22" t="s">
        <v>620</v>
      </c>
      <c r="L29" s="22" t="s">
        <v>774</v>
      </c>
    </row>
    <row r="30" customFormat="false" ht="14.25" hidden="false" customHeight="false" outlineLevel="0" collapsed="false">
      <c r="A30" s="22" t="n">
        <v>29</v>
      </c>
      <c r="B30" s="22" t="s">
        <v>850</v>
      </c>
      <c r="C30" s="22" t="s">
        <v>851</v>
      </c>
      <c r="D30" s="22" t="s">
        <v>133</v>
      </c>
      <c r="E30" s="22" t="s">
        <v>526</v>
      </c>
      <c r="F30" s="22" t="s">
        <v>462</v>
      </c>
      <c r="G30" s="22" t="s">
        <v>852</v>
      </c>
      <c r="H30" s="22" t="s">
        <v>460</v>
      </c>
      <c r="I30" s="22" t="s">
        <v>461</v>
      </c>
      <c r="J30" s="23" t="n">
        <v>770000000</v>
      </c>
      <c r="K30" s="22" t="s">
        <v>620</v>
      </c>
      <c r="L30" s="22" t="s">
        <v>774</v>
      </c>
    </row>
    <row r="31" customFormat="false" ht="14.25" hidden="false" customHeight="false" outlineLevel="0" collapsed="false">
      <c r="A31" s="22" t="n">
        <v>30</v>
      </c>
      <c r="B31" s="22" t="s">
        <v>853</v>
      </c>
      <c r="C31" s="22" t="s">
        <v>854</v>
      </c>
      <c r="D31" s="22" t="s">
        <v>134</v>
      </c>
      <c r="E31" s="22" t="s">
        <v>529</v>
      </c>
      <c r="F31" s="22" t="s">
        <v>467</v>
      </c>
      <c r="G31" s="22" t="s">
        <v>855</v>
      </c>
      <c r="H31" s="22" t="s">
        <v>465</v>
      </c>
      <c r="I31" s="22" t="s">
        <v>466</v>
      </c>
      <c r="J31" s="23" t="n">
        <v>620000000</v>
      </c>
      <c r="K31" s="22" t="s">
        <v>620</v>
      </c>
      <c r="L31" s="22" t="s">
        <v>774</v>
      </c>
    </row>
    <row r="32" customFormat="false" ht="14.25" hidden="false" customHeight="false" outlineLevel="0" collapsed="false">
      <c r="A32" s="22" t="n">
        <v>31</v>
      </c>
      <c r="B32" s="22" t="s">
        <v>856</v>
      </c>
      <c r="C32" s="22" t="s">
        <v>857</v>
      </c>
      <c r="D32" s="22" t="s">
        <v>133</v>
      </c>
      <c r="E32" s="22" t="s">
        <v>526</v>
      </c>
      <c r="F32" s="22" t="s">
        <v>472</v>
      </c>
      <c r="G32" s="22" t="s">
        <v>858</v>
      </c>
      <c r="H32" s="22" t="s">
        <v>470</v>
      </c>
      <c r="I32" s="22" t="s">
        <v>471</v>
      </c>
      <c r="J32" s="23" t="n">
        <v>600000000</v>
      </c>
      <c r="K32" s="22" t="s">
        <v>620</v>
      </c>
      <c r="L32" s="22" t="s">
        <v>774</v>
      </c>
    </row>
    <row r="33" customFormat="false" ht="14.25" hidden="false" customHeight="false" outlineLevel="0" collapsed="false">
      <c r="A33" s="22" t="n">
        <v>32</v>
      </c>
      <c r="B33" s="22" t="s">
        <v>859</v>
      </c>
      <c r="C33" s="22" t="s">
        <v>860</v>
      </c>
      <c r="D33" s="22" t="s">
        <v>134</v>
      </c>
      <c r="E33" s="22" t="s">
        <v>529</v>
      </c>
      <c r="F33" s="22" t="s">
        <v>477</v>
      </c>
      <c r="G33" s="22" t="s">
        <v>861</v>
      </c>
      <c r="H33" s="22" t="s">
        <v>475</v>
      </c>
      <c r="I33" s="22" t="s">
        <v>476</v>
      </c>
      <c r="J33" s="23" t="n">
        <v>840000000</v>
      </c>
      <c r="K33" s="22" t="s">
        <v>620</v>
      </c>
      <c r="L33" s="22" t="s">
        <v>774</v>
      </c>
    </row>
    <row r="34" customFormat="false" ht="14.25" hidden="false" customHeight="false" outlineLevel="0" collapsed="false">
      <c r="A34" s="22" t="n">
        <v>33</v>
      </c>
      <c r="B34" s="22" t="s">
        <v>862</v>
      </c>
      <c r="C34" s="22" t="s">
        <v>863</v>
      </c>
      <c r="D34" s="22" t="s">
        <v>133</v>
      </c>
      <c r="E34" s="22" t="s">
        <v>526</v>
      </c>
      <c r="F34" s="22" t="s">
        <v>482</v>
      </c>
      <c r="G34" s="22" t="s">
        <v>864</v>
      </c>
      <c r="H34" s="22" t="s">
        <v>480</v>
      </c>
      <c r="I34" s="22" t="s">
        <v>481</v>
      </c>
      <c r="J34" s="23" t="n">
        <v>710000000</v>
      </c>
      <c r="K34" s="22" t="s">
        <v>620</v>
      </c>
      <c r="L34" s="22" t="s">
        <v>774</v>
      </c>
    </row>
    <row r="35" customFormat="false" ht="14.25" hidden="false" customHeight="false" outlineLevel="0" collapsed="false">
      <c r="A35" s="22" t="n">
        <v>34</v>
      </c>
      <c r="B35" s="22" t="s">
        <v>865</v>
      </c>
      <c r="C35" s="22" t="s">
        <v>866</v>
      </c>
      <c r="D35" s="22" t="s">
        <v>134</v>
      </c>
      <c r="E35" s="22" t="s">
        <v>529</v>
      </c>
      <c r="F35" s="22" t="s">
        <v>487</v>
      </c>
      <c r="G35" s="22" t="s">
        <v>867</v>
      </c>
      <c r="H35" s="22" t="s">
        <v>485</v>
      </c>
      <c r="I35" s="22" t="s">
        <v>486</v>
      </c>
      <c r="J35" s="23" t="n">
        <v>620000000</v>
      </c>
      <c r="K35" s="22" t="s">
        <v>620</v>
      </c>
      <c r="L35" s="22" t="s">
        <v>774</v>
      </c>
    </row>
    <row r="36" customFormat="false" ht="14.25" hidden="false" customHeight="false" outlineLevel="0" collapsed="false">
      <c r="A36" s="22" t="n">
        <v>35</v>
      </c>
      <c r="B36" s="22" t="s">
        <v>868</v>
      </c>
      <c r="C36" s="22" t="s">
        <v>869</v>
      </c>
      <c r="D36" s="22" t="s">
        <v>133</v>
      </c>
      <c r="E36" s="22" t="s">
        <v>526</v>
      </c>
      <c r="F36" s="22" t="s">
        <v>492</v>
      </c>
      <c r="G36" s="22" t="s">
        <v>870</v>
      </c>
      <c r="H36" s="22" t="s">
        <v>490</v>
      </c>
      <c r="I36" s="22" t="s">
        <v>491</v>
      </c>
      <c r="J36" s="23" t="n">
        <v>690000000</v>
      </c>
      <c r="K36" s="22" t="s">
        <v>620</v>
      </c>
      <c r="L36" s="22" t="s">
        <v>774</v>
      </c>
    </row>
    <row r="37" customFormat="false" ht="14.25" hidden="false" customHeight="false" outlineLevel="0" collapsed="false">
      <c r="A37" s="22" t="n">
        <v>36</v>
      </c>
      <c r="B37" s="22" t="s">
        <v>871</v>
      </c>
      <c r="C37" s="22" t="s">
        <v>872</v>
      </c>
      <c r="D37" s="22" t="s">
        <v>134</v>
      </c>
      <c r="E37" s="22" t="s">
        <v>529</v>
      </c>
      <c r="F37" s="22" t="s">
        <v>497</v>
      </c>
      <c r="G37" s="22" t="s">
        <v>873</v>
      </c>
      <c r="H37" s="22" t="s">
        <v>495</v>
      </c>
      <c r="I37" s="22" t="s">
        <v>496</v>
      </c>
      <c r="J37" s="23" t="n">
        <v>760000000</v>
      </c>
      <c r="K37" s="22" t="s">
        <v>620</v>
      </c>
      <c r="L37" s="22" t="s">
        <v>774</v>
      </c>
    </row>
    <row r="38" customFormat="false" ht="14.25" hidden="false" customHeight="false" outlineLevel="0" collapsed="false">
      <c r="A38" s="22" t="n">
        <v>37</v>
      </c>
      <c r="B38" s="22" t="s">
        <v>874</v>
      </c>
      <c r="C38" s="22" t="s">
        <v>479</v>
      </c>
      <c r="D38" s="22" t="s">
        <v>133</v>
      </c>
      <c r="E38" s="22" t="s">
        <v>526</v>
      </c>
      <c r="F38" s="22" t="s">
        <v>502</v>
      </c>
      <c r="G38" s="22" t="s">
        <v>875</v>
      </c>
      <c r="H38" s="22" t="s">
        <v>500</v>
      </c>
      <c r="I38" s="22" t="s">
        <v>501</v>
      </c>
      <c r="J38" s="23" t="n">
        <v>660000000</v>
      </c>
      <c r="K38" s="22" t="s">
        <v>620</v>
      </c>
      <c r="L38" s="22" t="s">
        <v>774</v>
      </c>
    </row>
    <row r="39" customFormat="false" ht="14.25" hidden="false" customHeight="false" outlineLevel="0" collapsed="false">
      <c r="A39" s="22" t="n">
        <v>38</v>
      </c>
      <c r="B39" s="22" t="s">
        <v>876</v>
      </c>
      <c r="C39" s="22" t="s">
        <v>877</v>
      </c>
      <c r="D39" s="22" t="s">
        <v>134</v>
      </c>
      <c r="E39" s="22" t="s">
        <v>529</v>
      </c>
      <c r="F39" s="22" t="s">
        <v>507</v>
      </c>
      <c r="G39" s="22" t="s">
        <v>878</v>
      </c>
      <c r="H39" s="22" t="s">
        <v>505</v>
      </c>
      <c r="I39" s="22" t="s">
        <v>506</v>
      </c>
      <c r="J39" s="23" t="n">
        <v>730000000</v>
      </c>
      <c r="K39" s="22" t="s">
        <v>620</v>
      </c>
      <c r="L39" s="22" t="s">
        <v>774</v>
      </c>
    </row>
    <row r="40" customFormat="false" ht="14.25" hidden="false" customHeight="false" outlineLevel="0" collapsed="false">
      <c r="A40" s="22" t="n">
        <v>39</v>
      </c>
      <c r="B40" s="22" t="s">
        <v>879</v>
      </c>
      <c r="C40" s="22" t="s">
        <v>609</v>
      </c>
      <c r="D40" s="22" t="s">
        <v>133</v>
      </c>
      <c r="E40" s="22" t="s">
        <v>526</v>
      </c>
      <c r="F40" s="22" t="s">
        <v>512</v>
      </c>
      <c r="G40" s="22" t="s">
        <v>880</v>
      </c>
      <c r="H40" s="22" t="s">
        <v>510</v>
      </c>
      <c r="I40" s="22" t="s">
        <v>511</v>
      </c>
      <c r="J40" s="23" t="n">
        <v>810000000</v>
      </c>
      <c r="K40" s="22" t="s">
        <v>620</v>
      </c>
      <c r="L40" s="22" t="s">
        <v>774</v>
      </c>
    </row>
    <row r="41" customFormat="false" ht="14.25" hidden="false" customHeight="false" outlineLevel="0" collapsed="false">
      <c r="A41" s="22" t="n">
        <v>40</v>
      </c>
      <c r="B41" s="22" t="s">
        <v>881</v>
      </c>
      <c r="C41" s="22" t="s">
        <v>882</v>
      </c>
      <c r="D41" s="22" t="s">
        <v>134</v>
      </c>
      <c r="E41" s="22" t="s">
        <v>529</v>
      </c>
      <c r="F41" s="22" t="s">
        <v>517</v>
      </c>
      <c r="G41" s="22" t="s">
        <v>883</v>
      </c>
      <c r="H41" s="22" t="s">
        <v>515</v>
      </c>
      <c r="I41" s="22" t="s">
        <v>516</v>
      </c>
      <c r="J41" s="23" t="n">
        <v>720000000</v>
      </c>
      <c r="K41" s="22" t="s">
        <v>620</v>
      </c>
      <c r="L41" s="22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2026-09-22T07:23:25Z</dcterms:created>
  <dc:creator>openpyxl</dc:creator>
  <dc:description/>
  <dc:language>en-US</dc:language>
  <cp:lastModifiedBy>Test Bank</cp:lastModifiedBy>
  <dcterms:modified xsi:type="dcterms:W3CDTF">2026-09-30T05:46:23Z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